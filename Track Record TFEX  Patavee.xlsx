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njir\Downloads\"/>
    </mc:Choice>
  </mc:AlternateContent>
  <xr:revisionPtr revIDLastSave="0" documentId="13_ncr:1_{53C7910E-39DF-4EBA-99DD-083A773340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cord" sheetId="1" r:id="rId1"/>
    <sheet name="Graph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9" i="1" l="1"/>
  <c r="L828" i="1"/>
  <c r="K828" i="1"/>
  <c r="J828" i="1"/>
  <c r="I828" i="1"/>
  <c r="L827" i="1"/>
  <c r="K827" i="1"/>
  <c r="J827" i="1"/>
  <c r="I827" i="1"/>
  <c r="L826" i="1"/>
  <c r="K826" i="1"/>
  <c r="J826" i="1"/>
  <c r="I826" i="1"/>
  <c r="L825" i="1"/>
  <c r="K825" i="1"/>
  <c r="J825" i="1"/>
  <c r="I825" i="1"/>
  <c r="L824" i="1"/>
  <c r="K824" i="1"/>
  <c r="J824" i="1"/>
  <c r="I824" i="1"/>
  <c r="L823" i="1"/>
  <c r="K823" i="1"/>
  <c r="J823" i="1"/>
  <c r="I823" i="1"/>
  <c r="L822" i="1"/>
  <c r="K822" i="1"/>
  <c r="J822" i="1"/>
  <c r="I822" i="1"/>
  <c r="L821" i="1"/>
  <c r="K821" i="1"/>
  <c r="J821" i="1"/>
  <c r="I821" i="1"/>
  <c r="L820" i="1"/>
  <c r="K820" i="1"/>
  <c r="J820" i="1"/>
  <c r="I820" i="1"/>
  <c r="L819" i="1"/>
  <c r="K819" i="1"/>
  <c r="J819" i="1"/>
  <c r="I819" i="1"/>
  <c r="L818" i="1"/>
  <c r="K818" i="1"/>
  <c r="J818" i="1"/>
  <c r="I818" i="1"/>
  <c r="L817" i="1"/>
  <c r="K817" i="1"/>
  <c r="J817" i="1"/>
  <c r="I817" i="1"/>
  <c r="L816" i="1"/>
  <c r="K816" i="1"/>
  <c r="J816" i="1"/>
  <c r="I816" i="1"/>
  <c r="P815" i="1"/>
  <c r="L815" i="1"/>
  <c r="K815" i="1"/>
  <c r="J815" i="1"/>
  <c r="I815" i="1"/>
  <c r="L814" i="1"/>
  <c r="K814" i="1"/>
  <c r="J814" i="1"/>
  <c r="I814" i="1"/>
  <c r="L813" i="1"/>
  <c r="K813" i="1"/>
  <c r="J813" i="1"/>
  <c r="I813" i="1"/>
  <c r="L812" i="1"/>
  <c r="K812" i="1"/>
  <c r="J812" i="1"/>
  <c r="I812" i="1"/>
  <c r="L811" i="1"/>
  <c r="R807" i="1" s="1"/>
  <c r="K811" i="1"/>
  <c r="J811" i="1"/>
  <c r="I811" i="1"/>
  <c r="L810" i="1"/>
  <c r="K810" i="1"/>
  <c r="J810" i="1"/>
  <c r="I810" i="1"/>
  <c r="L809" i="1"/>
  <c r="K809" i="1"/>
  <c r="J809" i="1"/>
  <c r="I809" i="1"/>
  <c r="L808" i="1"/>
  <c r="K808" i="1"/>
  <c r="J808" i="1"/>
  <c r="I808" i="1"/>
  <c r="L807" i="1"/>
  <c r="K807" i="1"/>
  <c r="J807" i="1"/>
  <c r="I807" i="1"/>
  <c r="L806" i="1"/>
  <c r="K806" i="1"/>
  <c r="J806" i="1"/>
  <c r="I806" i="1"/>
  <c r="L805" i="1"/>
  <c r="K805" i="1"/>
  <c r="J805" i="1"/>
  <c r="I805" i="1"/>
  <c r="L804" i="1"/>
  <c r="K804" i="1"/>
  <c r="J804" i="1"/>
  <c r="I804" i="1"/>
  <c r="D797" i="1"/>
  <c r="L796" i="1"/>
  <c r="K796" i="1"/>
  <c r="J796" i="1"/>
  <c r="I796" i="1"/>
  <c r="L795" i="1"/>
  <c r="K795" i="1"/>
  <c r="J795" i="1"/>
  <c r="I795" i="1"/>
  <c r="L794" i="1"/>
  <c r="K794" i="1"/>
  <c r="J794" i="1"/>
  <c r="I794" i="1"/>
  <c r="L793" i="1"/>
  <c r="K793" i="1"/>
  <c r="J793" i="1"/>
  <c r="I793" i="1"/>
  <c r="L792" i="1"/>
  <c r="K792" i="1"/>
  <c r="J792" i="1"/>
  <c r="I792" i="1"/>
  <c r="L791" i="1"/>
  <c r="K791" i="1"/>
  <c r="J791" i="1"/>
  <c r="I791" i="1"/>
  <c r="L790" i="1"/>
  <c r="K790" i="1"/>
  <c r="J790" i="1"/>
  <c r="I790" i="1"/>
  <c r="L789" i="1"/>
  <c r="K789" i="1"/>
  <c r="J789" i="1"/>
  <c r="I789" i="1"/>
  <c r="L788" i="1"/>
  <c r="K788" i="1"/>
  <c r="J788" i="1"/>
  <c r="I788" i="1"/>
  <c r="L787" i="1"/>
  <c r="K787" i="1"/>
  <c r="J787" i="1"/>
  <c r="I787" i="1"/>
  <c r="L786" i="1"/>
  <c r="K786" i="1"/>
  <c r="J786" i="1"/>
  <c r="I786" i="1"/>
  <c r="L785" i="1"/>
  <c r="K785" i="1"/>
  <c r="J785" i="1"/>
  <c r="I785" i="1"/>
  <c r="L784" i="1"/>
  <c r="K784" i="1"/>
  <c r="J784" i="1"/>
  <c r="I784" i="1"/>
  <c r="L783" i="1"/>
  <c r="K783" i="1"/>
  <c r="J783" i="1"/>
  <c r="I783" i="1"/>
  <c r="L782" i="1"/>
  <c r="K782" i="1"/>
  <c r="J782" i="1"/>
  <c r="I782" i="1"/>
  <c r="L781" i="1"/>
  <c r="K781" i="1"/>
  <c r="J781" i="1"/>
  <c r="I781" i="1"/>
  <c r="L780" i="1"/>
  <c r="K780" i="1"/>
  <c r="J780" i="1"/>
  <c r="I780" i="1"/>
  <c r="L779" i="1"/>
  <c r="K779" i="1"/>
  <c r="J779" i="1"/>
  <c r="I779" i="1"/>
  <c r="L778" i="1"/>
  <c r="K778" i="1"/>
  <c r="J778" i="1"/>
  <c r="I778" i="1"/>
  <c r="L777" i="1"/>
  <c r="K777" i="1"/>
  <c r="J777" i="1"/>
  <c r="I777" i="1"/>
  <c r="L776" i="1"/>
  <c r="K776" i="1"/>
  <c r="J776" i="1"/>
  <c r="I776" i="1"/>
  <c r="L775" i="1"/>
  <c r="K775" i="1"/>
  <c r="J775" i="1"/>
  <c r="I775" i="1"/>
  <c r="L774" i="1"/>
  <c r="K774" i="1"/>
  <c r="J774" i="1"/>
  <c r="I774" i="1"/>
  <c r="L773" i="1"/>
  <c r="K773" i="1"/>
  <c r="J773" i="1"/>
  <c r="I773" i="1"/>
  <c r="L772" i="1"/>
  <c r="K772" i="1"/>
  <c r="J772" i="1"/>
  <c r="I772" i="1"/>
  <c r="D765" i="1"/>
  <c r="L764" i="1"/>
  <c r="K764" i="1"/>
  <c r="J764" i="1"/>
  <c r="I764" i="1"/>
  <c r="L763" i="1"/>
  <c r="K763" i="1"/>
  <c r="J763" i="1"/>
  <c r="I763" i="1"/>
  <c r="L762" i="1"/>
  <c r="K762" i="1"/>
  <c r="J762" i="1"/>
  <c r="I762" i="1"/>
  <c r="L761" i="1"/>
  <c r="K761" i="1"/>
  <c r="J761" i="1"/>
  <c r="P752" i="1" s="1"/>
  <c r="I761" i="1"/>
  <c r="L760" i="1"/>
  <c r="K760" i="1"/>
  <c r="J760" i="1"/>
  <c r="I760" i="1"/>
  <c r="L759" i="1"/>
  <c r="K759" i="1"/>
  <c r="J759" i="1"/>
  <c r="I759" i="1"/>
  <c r="L758" i="1"/>
  <c r="K758" i="1"/>
  <c r="J758" i="1"/>
  <c r="I758" i="1"/>
  <c r="L757" i="1"/>
  <c r="K757" i="1"/>
  <c r="J757" i="1"/>
  <c r="I757" i="1"/>
  <c r="L756" i="1"/>
  <c r="K756" i="1"/>
  <c r="J756" i="1"/>
  <c r="I756" i="1"/>
  <c r="L755" i="1"/>
  <c r="K755" i="1"/>
  <c r="J755" i="1"/>
  <c r="I755" i="1"/>
  <c r="L754" i="1"/>
  <c r="K754" i="1"/>
  <c r="J754" i="1"/>
  <c r="I754" i="1"/>
  <c r="L753" i="1"/>
  <c r="K753" i="1"/>
  <c r="J753" i="1"/>
  <c r="I753" i="1"/>
  <c r="L752" i="1"/>
  <c r="K752" i="1"/>
  <c r="J752" i="1"/>
  <c r="I752" i="1"/>
  <c r="L751" i="1"/>
  <c r="K751" i="1"/>
  <c r="J751" i="1"/>
  <c r="I751" i="1"/>
  <c r="L750" i="1"/>
  <c r="K750" i="1"/>
  <c r="J750" i="1"/>
  <c r="I750" i="1"/>
  <c r="L749" i="1"/>
  <c r="K749" i="1"/>
  <c r="J749" i="1"/>
  <c r="I749" i="1"/>
  <c r="L748" i="1"/>
  <c r="K748" i="1"/>
  <c r="J748" i="1"/>
  <c r="I748" i="1"/>
  <c r="L747" i="1"/>
  <c r="K747" i="1"/>
  <c r="J747" i="1"/>
  <c r="I747" i="1"/>
  <c r="L746" i="1"/>
  <c r="K746" i="1"/>
  <c r="J746" i="1"/>
  <c r="I746" i="1"/>
  <c r="L745" i="1"/>
  <c r="K745" i="1"/>
  <c r="J745" i="1"/>
  <c r="I745" i="1"/>
  <c r="L744" i="1"/>
  <c r="K744" i="1"/>
  <c r="J744" i="1"/>
  <c r="I744" i="1"/>
  <c r="L743" i="1"/>
  <c r="K743" i="1"/>
  <c r="J743" i="1"/>
  <c r="I743" i="1"/>
  <c r="L742" i="1"/>
  <c r="K742" i="1"/>
  <c r="J742" i="1"/>
  <c r="I742" i="1"/>
  <c r="L741" i="1"/>
  <c r="K741" i="1"/>
  <c r="J741" i="1"/>
  <c r="I741" i="1"/>
  <c r="L740" i="1"/>
  <c r="K740" i="1"/>
  <c r="J740" i="1"/>
  <c r="I740" i="1"/>
  <c r="D733" i="1"/>
  <c r="L732" i="1"/>
  <c r="K732" i="1"/>
  <c r="J732" i="1"/>
  <c r="I732" i="1"/>
  <c r="L731" i="1"/>
  <c r="K731" i="1"/>
  <c r="J731" i="1"/>
  <c r="I731" i="1"/>
  <c r="L730" i="1"/>
  <c r="K730" i="1"/>
  <c r="J730" i="1"/>
  <c r="I730" i="1"/>
  <c r="L729" i="1"/>
  <c r="K729" i="1"/>
  <c r="J729" i="1"/>
  <c r="I729" i="1"/>
  <c r="L728" i="1"/>
  <c r="K728" i="1"/>
  <c r="J728" i="1"/>
  <c r="I728" i="1"/>
  <c r="L727" i="1"/>
  <c r="K727" i="1"/>
  <c r="J727" i="1"/>
  <c r="I727" i="1"/>
  <c r="L726" i="1"/>
  <c r="K726" i="1"/>
  <c r="J726" i="1"/>
  <c r="I726" i="1"/>
  <c r="L725" i="1"/>
  <c r="K725" i="1"/>
  <c r="J725" i="1"/>
  <c r="I725" i="1"/>
  <c r="L724" i="1"/>
  <c r="K724" i="1"/>
  <c r="J724" i="1"/>
  <c r="I724" i="1"/>
  <c r="L723" i="1"/>
  <c r="K723" i="1"/>
  <c r="J723" i="1"/>
  <c r="I723" i="1"/>
  <c r="L722" i="1"/>
  <c r="K722" i="1"/>
  <c r="J722" i="1"/>
  <c r="I722" i="1"/>
  <c r="L721" i="1"/>
  <c r="K721" i="1"/>
  <c r="J721" i="1"/>
  <c r="I721" i="1"/>
  <c r="L720" i="1"/>
  <c r="K720" i="1"/>
  <c r="J720" i="1"/>
  <c r="I720" i="1"/>
  <c r="P719" i="1"/>
  <c r="L719" i="1"/>
  <c r="K719" i="1"/>
  <c r="J719" i="1"/>
  <c r="I719" i="1"/>
  <c r="L718" i="1"/>
  <c r="K718" i="1"/>
  <c r="J718" i="1"/>
  <c r="I718" i="1"/>
  <c r="L717" i="1"/>
  <c r="K717" i="1"/>
  <c r="J717" i="1"/>
  <c r="I717" i="1"/>
  <c r="L716" i="1"/>
  <c r="K716" i="1"/>
  <c r="J716" i="1"/>
  <c r="I716" i="1"/>
  <c r="L715" i="1"/>
  <c r="K715" i="1"/>
  <c r="J715" i="1"/>
  <c r="I715" i="1"/>
  <c r="L714" i="1"/>
  <c r="K714" i="1"/>
  <c r="J714" i="1"/>
  <c r="I714" i="1"/>
  <c r="L713" i="1"/>
  <c r="K713" i="1"/>
  <c r="J713" i="1"/>
  <c r="I713" i="1"/>
  <c r="L712" i="1"/>
  <c r="K712" i="1"/>
  <c r="J712" i="1"/>
  <c r="I712" i="1"/>
  <c r="P711" i="1"/>
  <c r="L711" i="1"/>
  <c r="K711" i="1"/>
  <c r="J711" i="1"/>
  <c r="I711" i="1"/>
  <c r="L710" i="1"/>
  <c r="K710" i="1"/>
  <c r="J710" i="1"/>
  <c r="I710" i="1"/>
  <c r="L709" i="1"/>
  <c r="K709" i="1"/>
  <c r="J709" i="1"/>
  <c r="I709" i="1"/>
  <c r="L708" i="1"/>
  <c r="P722" i="1" s="1"/>
  <c r="K708" i="1"/>
  <c r="J708" i="1"/>
  <c r="P720" i="1" s="1"/>
  <c r="I708" i="1"/>
  <c r="D701" i="1"/>
  <c r="L700" i="1"/>
  <c r="K700" i="1"/>
  <c r="J700" i="1"/>
  <c r="I700" i="1"/>
  <c r="L699" i="1"/>
  <c r="K699" i="1"/>
  <c r="J699" i="1"/>
  <c r="I699" i="1"/>
  <c r="L698" i="1"/>
  <c r="K698" i="1"/>
  <c r="J698" i="1"/>
  <c r="I698" i="1"/>
  <c r="L697" i="1"/>
  <c r="K697" i="1"/>
  <c r="J697" i="1"/>
  <c r="I697" i="1"/>
  <c r="L696" i="1"/>
  <c r="K696" i="1"/>
  <c r="J696" i="1"/>
  <c r="I696" i="1"/>
  <c r="L695" i="1"/>
  <c r="K695" i="1"/>
  <c r="J695" i="1"/>
  <c r="I695" i="1"/>
  <c r="L694" i="1"/>
  <c r="K694" i="1"/>
  <c r="J694" i="1"/>
  <c r="I694" i="1"/>
  <c r="L693" i="1"/>
  <c r="K693" i="1"/>
  <c r="J693" i="1"/>
  <c r="I693" i="1"/>
  <c r="L692" i="1"/>
  <c r="K692" i="1"/>
  <c r="J692" i="1"/>
  <c r="I692" i="1"/>
  <c r="B701" i="1" s="1"/>
  <c r="L691" i="1"/>
  <c r="K691" i="1"/>
  <c r="J691" i="1"/>
  <c r="I691" i="1"/>
  <c r="L690" i="1"/>
  <c r="K690" i="1"/>
  <c r="J690" i="1"/>
  <c r="I690" i="1"/>
  <c r="L689" i="1"/>
  <c r="K689" i="1"/>
  <c r="J689" i="1"/>
  <c r="I689" i="1"/>
  <c r="L688" i="1"/>
  <c r="K688" i="1"/>
  <c r="J688" i="1"/>
  <c r="P679" i="1" s="1"/>
  <c r="I688" i="1"/>
  <c r="L687" i="1"/>
  <c r="K687" i="1"/>
  <c r="J687" i="1"/>
  <c r="I687" i="1"/>
  <c r="L686" i="1"/>
  <c r="K686" i="1"/>
  <c r="J686" i="1"/>
  <c r="I686" i="1"/>
  <c r="L685" i="1"/>
  <c r="K685" i="1"/>
  <c r="J685" i="1"/>
  <c r="I685" i="1"/>
  <c r="L684" i="1"/>
  <c r="K684" i="1"/>
  <c r="J684" i="1"/>
  <c r="I684" i="1"/>
  <c r="L683" i="1"/>
  <c r="K683" i="1"/>
  <c r="J683" i="1"/>
  <c r="I683" i="1"/>
  <c r="L682" i="1"/>
  <c r="K682" i="1"/>
  <c r="J682" i="1"/>
  <c r="I682" i="1"/>
  <c r="L681" i="1"/>
  <c r="K681" i="1"/>
  <c r="J681" i="1"/>
  <c r="I681" i="1"/>
  <c r="L680" i="1"/>
  <c r="K680" i="1"/>
  <c r="J680" i="1"/>
  <c r="I680" i="1"/>
  <c r="L679" i="1"/>
  <c r="K679" i="1"/>
  <c r="J679" i="1"/>
  <c r="I679" i="1"/>
  <c r="L678" i="1"/>
  <c r="K678" i="1"/>
  <c r="J678" i="1"/>
  <c r="I678" i="1"/>
  <c r="L677" i="1"/>
  <c r="K677" i="1"/>
  <c r="J677" i="1"/>
  <c r="I677" i="1"/>
  <c r="L676" i="1"/>
  <c r="K676" i="1"/>
  <c r="J676" i="1"/>
  <c r="I676" i="1"/>
  <c r="D669" i="1"/>
  <c r="L668" i="1"/>
  <c r="K668" i="1"/>
  <c r="J668" i="1"/>
  <c r="I668" i="1"/>
  <c r="L667" i="1"/>
  <c r="K667" i="1"/>
  <c r="J667" i="1"/>
  <c r="I667" i="1"/>
  <c r="L666" i="1"/>
  <c r="K666" i="1"/>
  <c r="J666" i="1"/>
  <c r="I666" i="1"/>
  <c r="L665" i="1"/>
  <c r="K665" i="1"/>
  <c r="J665" i="1"/>
  <c r="I665" i="1"/>
  <c r="L664" i="1"/>
  <c r="K664" i="1"/>
  <c r="J664" i="1"/>
  <c r="I664" i="1"/>
  <c r="L663" i="1"/>
  <c r="K663" i="1"/>
  <c r="J663" i="1"/>
  <c r="I663" i="1"/>
  <c r="L662" i="1"/>
  <c r="K662" i="1"/>
  <c r="J662" i="1"/>
  <c r="I662" i="1"/>
  <c r="L661" i="1"/>
  <c r="K661" i="1"/>
  <c r="J661" i="1"/>
  <c r="I661" i="1"/>
  <c r="L660" i="1"/>
  <c r="K660" i="1"/>
  <c r="J660" i="1"/>
  <c r="I660" i="1"/>
  <c r="L659" i="1"/>
  <c r="K659" i="1"/>
  <c r="J659" i="1"/>
  <c r="I659" i="1"/>
  <c r="L658" i="1"/>
  <c r="K658" i="1"/>
  <c r="J658" i="1"/>
  <c r="I658" i="1"/>
  <c r="L657" i="1"/>
  <c r="K657" i="1"/>
  <c r="J657" i="1"/>
  <c r="I657" i="1"/>
  <c r="L656" i="1"/>
  <c r="K656" i="1"/>
  <c r="J656" i="1"/>
  <c r="I656" i="1"/>
  <c r="L655" i="1"/>
  <c r="K655" i="1"/>
  <c r="J655" i="1"/>
  <c r="I655" i="1"/>
  <c r="L654" i="1"/>
  <c r="K654" i="1"/>
  <c r="J654" i="1"/>
  <c r="I654" i="1"/>
  <c r="L653" i="1"/>
  <c r="K653" i="1"/>
  <c r="J653" i="1"/>
  <c r="I653" i="1"/>
  <c r="L652" i="1"/>
  <c r="K652" i="1"/>
  <c r="J652" i="1"/>
  <c r="P656" i="1" s="1"/>
  <c r="I652" i="1"/>
  <c r="L651" i="1"/>
  <c r="K651" i="1"/>
  <c r="J651" i="1"/>
  <c r="I651" i="1"/>
  <c r="L650" i="1"/>
  <c r="K650" i="1"/>
  <c r="J650" i="1"/>
  <c r="I650" i="1"/>
  <c r="L649" i="1"/>
  <c r="K649" i="1"/>
  <c r="J649" i="1"/>
  <c r="I649" i="1"/>
  <c r="L648" i="1"/>
  <c r="K648" i="1"/>
  <c r="J648" i="1"/>
  <c r="I648" i="1"/>
  <c r="L647" i="1"/>
  <c r="K647" i="1"/>
  <c r="J647" i="1"/>
  <c r="I647" i="1"/>
  <c r="L646" i="1"/>
  <c r="K646" i="1"/>
  <c r="J646" i="1"/>
  <c r="I646" i="1"/>
  <c r="L645" i="1"/>
  <c r="K645" i="1"/>
  <c r="C669" i="1" s="1"/>
  <c r="J645" i="1"/>
  <c r="I645" i="1"/>
  <c r="L644" i="1"/>
  <c r="K644" i="1"/>
  <c r="J644" i="1"/>
  <c r="I644" i="1"/>
  <c r="D637" i="1"/>
  <c r="L636" i="1"/>
  <c r="K636" i="1"/>
  <c r="J636" i="1"/>
  <c r="I636" i="1"/>
  <c r="L635" i="1"/>
  <c r="K635" i="1"/>
  <c r="J635" i="1"/>
  <c r="I635" i="1"/>
  <c r="L634" i="1"/>
  <c r="K634" i="1"/>
  <c r="J634" i="1"/>
  <c r="I634" i="1"/>
  <c r="L633" i="1"/>
  <c r="K633" i="1"/>
  <c r="J633" i="1"/>
  <c r="I633" i="1"/>
  <c r="L632" i="1"/>
  <c r="K632" i="1"/>
  <c r="J632" i="1"/>
  <c r="I632" i="1"/>
  <c r="L631" i="1"/>
  <c r="K631" i="1"/>
  <c r="J631" i="1"/>
  <c r="I631" i="1"/>
  <c r="L630" i="1"/>
  <c r="K630" i="1"/>
  <c r="J630" i="1"/>
  <c r="I630" i="1"/>
  <c r="L629" i="1"/>
  <c r="K629" i="1"/>
  <c r="J629" i="1"/>
  <c r="I629" i="1"/>
  <c r="L628" i="1"/>
  <c r="K628" i="1"/>
  <c r="J628" i="1"/>
  <c r="I628" i="1"/>
  <c r="L627" i="1"/>
  <c r="K627" i="1"/>
  <c r="J627" i="1"/>
  <c r="I627" i="1"/>
  <c r="L626" i="1"/>
  <c r="K626" i="1"/>
  <c r="J626" i="1"/>
  <c r="I626" i="1"/>
  <c r="L625" i="1"/>
  <c r="K625" i="1"/>
  <c r="J625" i="1"/>
  <c r="I625" i="1"/>
  <c r="L624" i="1"/>
  <c r="K624" i="1"/>
  <c r="J624" i="1"/>
  <c r="I624" i="1"/>
  <c r="L623" i="1"/>
  <c r="K623" i="1"/>
  <c r="J623" i="1"/>
  <c r="I623" i="1"/>
  <c r="L622" i="1"/>
  <c r="K622" i="1"/>
  <c r="J622" i="1"/>
  <c r="I622" i="1"/>
  <c r="L621" i="1"/>
  <c r="K621" i="1"/>
  <c r="J621" i="1"/>
  <c r="I621" i="1"/>
  <c r="L620" i="1"/>
  <c r="K620" i="1"/>
  <c r="J620" i="1"/>
  <c r="I620" i="1"/>
  <c r="L619" i="1"/>
  <c r="K619" i="1"/>
  <c r="J619" i="1"/>
  <c r="I619" i="1"/>
  <c r="L618" i="1"/>
  <c r="K618" i="1"/>
  <c r="J618" i="1"/>
  <c r="I618" i="1"/>
  <c r="L617" i="1"/>
  <c r="K617" i="1"/>
  <c r="J617" i="1"/>
  <c r="I617" i="1"/>
  <c r="L616" i="1"/>
  <c r="K616" i="1"/>
  <c r="J616" i="1"/>
  <c r="I616" i="1"/>
  <c r="L615" i="1"/>
  <c r="P626" i="1" s="1"/>
  <c r="K615" i="1"/>
  <c r="J615" i="1"/>
  <c r="I615" i="1"/>
  <c r="L614" i="1"/>
  <c r="K614" i="1"/>
  <c r="J614" i="1"/>
  <c r="I614" i="1"/>
  <c r="L613" i="1"/>
  <c r="K613" i="1"/>
  <c r="J613" i="1"/>
  <c r="I613" i="1"/>
  <c r="L612" i="1"/>
  <c r="K612" i="1"/>
  <c r="J612" i="1"/>
  <c r="I612" i="1"/>
  <c r="D605" i="1"/>
  <c r="L604" i="1"/>
  <c r="K604" i="1"/>
  <c r="J604" i="1"/>
  <c r="I604" i="1"/>
  <c r="L603" i="1"/>
  <c r="K603" i="1"/>
  <c r="J603" i="1"/>
  <c r="I603" i="1"/>
  <c r="L602" i="1"/>
  <c r="K602" i="1"/>
  <c r="J602" i="1"/>
  <c r="I602" i="1"/>
  <c r="L601" i="1"/>
  <c r="K601" i="1"/>
  <c r="J601" i="1"/>
  <c r="P583" i="1" s="1"/>
  <c r="I601" i="1"/>
  <c r="L600" i="1"/>
  <c r="K600" i="1"/>
  <c r="J600" i="1"/>
  <c r="I600" i="1"/>
  <c r="L599" i="1"/>
  <c r="K599" i="1"/>
  <c r="J599" i="1"/>
  <c r="I599" i="1"/>
  <c r="L598" i="1"/>
  <c r="K598" i="1"/>
  <c r="J598" i="1"/>
  <c r="I598" i="1"/>
  <c r="L597" i="1"/>
  <c r="K597" i="1"/>
  <c r="J597" i="1"/>
  <c r="I597" i="1"/>
  <c r="L596" i="1"/>
  <c r="K596" i="1"/>
  <c r="J596" i="1"/>
  <c r="I596" i="1"/>
  <c r="L595" i="1"/>
  <c r="K595" i="1"/>
  <c r="J595" i="1"/>
  <c r="I595" i="1"/>
  <c r="L594" i="1"/>
  <c r="K594" i="1"/>
  <c r="J594" i="1"/>
  <c r="I594" i="1"/>
  <c r="L593" i="1"/>
  <c r="K593" i="1"/>
  <c r="J593" i="1"/>
  <c r="I593" i="1"/>
  <c r="L592" i="1"/>
  <c r="K592" i="1"/>
  <c r="J592" i="1"/>
  <c r="I592" i="1"/>
  <c r="L591" i="1"/>
  <c r="K591" i="1"/>
  <c r="J591" i="1"/>
  <c r="I591" i="1"/>
  <c r="L590" i="1"/>
  <c r="K590" i="1"/>
  <c r="J590" i="1"/>
  <c r="I590" i="1"/>
  <c r="L589" i="1"/>
  <c r="K589" i="1"/>
  <c r="J589" i="1"/>
  <c r="I589" i="1"/>
  <c r="L588" i="1"/>
  <c r="K588" i="1"/>
  <c r="J588" i="1"/>
  <c r="I588" i="1"/>
  <c r="L587" i="1"/>
  <c r="K587" i="1"/>
  <c r="J587" i="1"/>
  <c r="I587" i="1"/>
  <c r="L586" i="1"/>
  <c r="K586" i="1"/>
  <c r="J586" i="1"/>
  <c r="I586" i="1"/>
  <c r="L585" i="1"/>
  <c r="K585" i="1"/>
  <c r="J585" i="1"/>
  <c r="I585" i="1"/>
  <c r="L584" i="1"/>
  <c r="K584" i="1"/>
  <c r="J584" i="1"/>
  <c r="I584" i="1"/>
  <c r="L583" i="1"/>
  <c r="K583" i="1"/>
  <c r="J583" i="1"/>
  <c r="I583" i="1"/>
  <c r="L582" i="1"/>
  <c r="K582" i="1"/>
  <c r="J582" i="1"/>
  <c r="I582" i="1"/>
  <c r="L581" i="1"/>
  <c r="K581" i="1"/>
  <c r="J581" i="1"/>
  <c r="I581" i="1"/>
  <c r="L580" i="1"/>
  <c r="K580" i="1"/>
  <c r="J580" i="1"/>
  <c r="I580" i="1"/>
  <c r="D573" i="1"/>
  <c r="B573" i="1"/>
  <c r="L572" i="1"/>
  <c r="K572" i="1"/>
  <c r="J572" i="1"/>
  <c r="I572" i="1"/>
  <c r="L571" i="1"/>
  <c r="K571" i="1"/>
  <c r="J571" i="1"/>
  <c r="I571" i="1"/>
  <c r="L570" i="1"/>
  <c r="K570" i="1"/>
  <c r="J570" i="1"/>
  <c r="I570" i="1"/>
  <c r="L569" i="1"/>
  <c r="K569" i="1"/>
  <c r="J569" i="1"/>
  <c r="I569" i="1"/>
  <c r="L568" i="1"/>
  <c r="K568" i="1"/>
  <c r="J568" i="1"/>
  <c r="P551" i="1" s="1"/>
  <c r="I568" i="1"/>
  <c r="L567" i="1"/>
  <c r="K567" i="1"/>
  <c r="J567" i="1"/>
  <c r="I567" i="1"/>
  <c r="L566" i="1"/>
  <c r="K566" i="1"/>
  <c r="J566" i="1"/>
  <c r="I566" i="1"/>
  <c r="L565" i="1"/>
  <c r="K565" i="1"/>
  <c r="J565" i="1"/>
  <c r="I565" i="1"/>
  <c r="L564" i="1"/>
  <c r="K564" i="1"/>
  <c r="J564" i="1"/>
  <c r="I564" i="1"/>
  <c r="P559" i="1" s="1"/>
  <c r="L563" i="1"/>
  <c r="K563" i="1"/>
  <c r="J563" i="1"/>
  <c r="I563" i="1"/>
  <c r="L562" i="1"/>
  <c r="K562" i="1"/>
  <c r="J562" i="1"/>
  <c r="I562" i="1"/>
  <c r="L561" i="1"/>
  <c r="K561" i="1"/>
  <c r="J561" i="1"/>
  <c r="I561" i="1"/>
  <c r="L560" i="1"/>
  <c r="K560" i="1"/>
  <c r="J560" i="1"/>
  <c r="I560" i="1"/>
  <c r="L559" i="1"/>
  <c r="K559" i="1"/>
  <c r="J559" i="1"/>
  <c r="I559" i="1"/>
  <c r="L558" i="1"/>
  <c r="K558" i="1"/>
  <c r="J558" i="1"/>
  <c r="I558" i="1"/>
  <c r="L557" i="1"/>
  <c r="K557" i="1"/>
  <c r="J557" i="1"/>
  <c r="I557" i="1"/>
  <c r="L556" i="1"/>
  <c r="K556" i="1"/>
  <c r="J556" i="1"/>
  <c r="I556" i="1"/>
  <c r="L555" i="1"/>
  <c r="K555" i="1"/>
  <c r="J555" i="1"/>
  <c r="I555" i="1"/>
  <c r="L554" i="1"/>
  <c r="K554" i="1"/>
  <c r="J554" i="1"/>
  <c r="I554" i="1"/>
  <c r="L553" i="1"/>
  <c r="K553" i="1"/>
  <c r="J553" i="1"/>
  <c r="I553" i="1"/>
  <c r="L552" i="1"/>
  <c r="K552" i="1"/>
  <c r="J552" i="1"/>
  <c r="I552" i="1"/>
  <c r="L551" i="1"/>
  <c r="R551" i="1" s="1"/>
  <c r="K551" i="1"/>
  <c r="J551" i="1"/>
  <c r="I551" i="1"/>
  <c r="L550" i="1"/>
  <c r="K550" i="1"/>
  <c r="J550" i="1"/>
  <c r="I550" i="1"/>
  <c r="L549" i="1"/>
  <c r="K549" i="1"/>
  <c r="J549" i="1"/>
  <c r="I549" i="1"/>
  <c r="L548" i="1"/>
  <c r="K548" i="1"/>
  <c r="J548" i="1"/>
  <c r="I548" i="1"/>
  <c r="D541" i="1"/>
  <c r="C541" i="1"/>
  <c r="L540" i="1"/>
  <c r="K540" i="1"/>
  <c r="J540" i="1"/>
  <c r="I540" i="1"/>
  <c r="L539" i="1"/>
  <c r="K539" i="1"/>
  <c r="J539" i="1"/>
  <c r="I539" i="1"/>
  <c r="L538" i="1"/>
  <c r="K538" i="1"/>
  <c r="J538" i="1"/>
  <c r="I538" i="1"/>
  <c r="L537" i="1"/>
  <c r="K537" i="1"/>
  <c r="J537" i="1"/>
  <c r="I537" i="1"/>
  <c r="L536" i="1"/>
  <c r="K536" i="1"/>
  <c r="J536" i="1"/>
  <c r="I536" i="1"/>
  <c r="L535" i="1"/>
  <c r="K535" i="1"/>
  <c r="J535" i="1"/>
  <c r="I535" i="1"/>
  <c r="L534" i="1"/>
  <c r="K534" i="1"/>
  <c r="J534" i="1"/>
  <c r="I534" i="1"/>
  <c r="L533" i="1"/>
  <c r="K533" i="1"/>
  <c r="J533" i="1"/>
  <c r="I533" i="1"/>
  <c r="L532" i="1"/>
  <c r="K532" i="1"/>
  <c r="J532" i="1"/>
  <c r="I532" i="1"/>
  <c r="L531" i="1"/>
  <c r="K531" i="1"/>
  <c r="J531" i="1"/>
  <c r="I531" i="1"/>
  <c r="L530" i="1"/>
  <c r="K530" i="1"/>
  <c r="J530" i="1"/>
  <c r="I530" i="1"/>
  <c r="L529" i="1"/>
  <c r="K529" i="1"/>
  <c r="J529" i="1"/>
  <c r="I529" i="1"/>
  <c r="L528" i="1"/>
  <c r="K528" i="1"/>
  <c r="J528" i="1"/>
  <c r="I528" i="1"/>
  <c r="P527" i="1"/>
  <c r="L527" i="1"/>
  <c r="K527" i="1"/>
  <c r="J527" i="1"/>
  <c r="I527" i="1"/>
  <c r="L526" i="1"/>
  <c r="K526" i="1"/>
  <c r="J526" i="1"/>
  <c r="I526" i="1"/>
  <c r="L525" i="1"/>
  <c r="K525" i="1"/>
  <c r="J525" i="1"/>
  <c r="I525" i="1"/>
  <c r="L524" i="1"/>
  <c r="K524" i="1"/>
  <c r="J524" i="1"/>
  <c r="I524" i="1"/>
  <c r="L523" i="1"/>
  <c r="R519" i="1" s="1"/>
  <c r="K523" i="1"/>
  <c r="J523" i="1"/>
  <c r="I523" i="1"/>
  <c r="L522" i="1"/>
  <c r="K522" i="1"/>
  <c r="J522" i="1"/>
  <c r="I522" i="1"/>
  <c r="L521" i="1"/>
  <c r="K521" i="1"/>
  <c r="J521" i="1"/>
  <c r="I521" i="1"/>
  <c r="L520" i="1"/>
  <c r="K520" i="1"/>
  <c r="J520" i="1"/>
  <c r="I520" i="1"/>
  <c r="L519" i="1"/>
  <c r="K519" i="1"/>
  <c r="J519" i="1"/>
  <c r="I519" i="1"/>
  <c r="L518" i="1"/>
  <c r="K518" i="1"/>
  <c r="J518" i="1"/>
  <c r="I518" i="1"/>
  <c r="L517" i="1"/>
  <c r="K517" i="1"/>
  <c r="J517" i="1"/>
  <c r="I517" i="1"/>
  <c r="L516" i="1"/>
  <c r="K516" i="1"/>
  <c r="J516" i="1"/>
  <c r="I516" i="1"/>
  <c r="B541" i="1" s="1"/>
  <c r="D509" i="1"/>
  <c r="L508" i="1"/>
  <c r="K508" i="1"/>
  <c r="J508" i="1"/>
  <c r="I508" i="1"/>
  <c r="L507" i="1"/>
  <c r="K507" i="1"/>
  <c r="J507" i="1"/>
  <c r="I507" i="1"/>
  <c r="L506" i="1"/>
  <c r="K506" i="1"/>
  <c r="J506" i="1"/>
  <c r="I506" i="1"/>
  <c r="L505" i="1"/>
  <c r="K505" i="1"/>
  <c r="J505" i="1"/>
  <c r="I505" i="1"/>
  <c r="L504" i="1"/>
  <c r="K504" i="1"/>
  <c r="J504" i="1"/>
  <c r="I504" i="1"/>
  <c r="L503" i="1"/>
  <c r="K503" i="1"/>
  <c r="J503" i="1"/>
  <c r="I503" i="1"/>
  <c r="L502" i="1"/>
  <c r="K502" i="1"/>
  <c r="J502" i="1"/>
  <c r="I502" i="1"/>
  <c r="L501" i="1"/>
  <c r="K501" i="1"/>
  <c r="J501" i="1"/>
  <c r="I501" i="1"/>
  <c r="L500" i="1"/>
  <c r="K500" i="1"/>
  <c r="J500" i="1"/>
  <c r="I500" i="1"/>
  <c r="L499" i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P496" i="1" s="1"/>
  <c r="I488" i="1"/>
  <c r="L487" i="1"/>
  <c r="K487" i="1"/>
  <c r="J487" i="1"/>
  <c r="I487" i="1"/>
  <c r="L486" i="1"/>
  <c r="K486" i="1"/>
  <c r="J486" i="1"/>
  <c r="I486" i="1"/>
  <c r="L485" i="1"/>
  <c r="K485" i="1"/>
  <c r="C509" i="1" s="1"/>
  <c r="J485" i="1"/>
  <c r="I485" i="1"/>
  <c r="L484" i="1"/>
  <c r="R487" i="1" s="1"/>
  <c r="K484" i="1"/>
  <c r="P497" i="1" s="1"/>
  <c r="J484" i="1"/>
  <c r="I484" i="1"/>
  <c r="D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P455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D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P431" i="1" s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R423" i="1" s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P434" i="1" s="1"/>
  <c r="K422" i="1"/>
  <c r="J422" i="1"/>
  <c r="I422" i="1"/>
  <c r="L421" i="1"/>
  <c r="K421" i="1"/>
  <c r="J421" i="1"/>
  <c r="I421" i="1"/>
  <c r="L420" i="1"/>
  <c r="K420" i="1"/>
  <c r="J420" i="1"/>
  <c r="I420" i="1"/>
  <c r="D413" i="1"/>
  <c r="C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P391" i="1" s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P399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R391" i="1" s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D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D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P336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P338" i="1" s="1"/>
  <c r="K325" i="1"/>
  <c r="J325" i="1"/>
  <c r="I325" i="1"/>
  <c r="L324" i="1"/>
  <c r="K324" i="1"/>
  <c r="J324" i="1"/>
  <c r="P327" i="1" s="1"/>
  <c r="I324" i="1"/>
  <c r="B349" i="1" s="1"/>
  <c r="D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P295" i="1" s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R295" i="1" s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D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C285" i="1" s="1"/>
  <c r="J260" i="1"/>
  <c r="P272" i="1" s="1"/>
  <c r="I260" i="1"/>
  <c r="D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C253" i="1" s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P239" i="1" s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R231" i="1" s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D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P208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D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P176" i="1" s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D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P135" i="1" s="1"/>
  <c r="I133" i="1"/>
  <c r="L132" i="1"/>
  <c r="K132" i="1"/>
  <c r="J132" i="1"/>
  <c r="I132" i="1"/>
  <c r="D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I94" i="1"/>
  <c r="I126" i="1" s="1"/>
  <c r="D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P80" i="1" s="1"/>
  <c r="I72" i="1"/>
  <c r="L71" i="1"/>
  <c r="K71" i="1"/>
  <c r="J71" i="1"/>
  <c r="I71" i="1"/>
  <c r="B93" i="1" s="1"/>
  <c r="L70" i="1"/>
  <c r="K70" i="1"/>
  <c r="J70" i="1"/>
  <c r="I70" i="1"/>
  <c r="L69" i="1"/>
  <c r="K69" i="1"/>
  <c r="P81" i="1" s="1"/>
  <c r="J69" i="1"/>
  <c r="I69" i="1"/>
  <c r="L68" i="1"/>
  <c r="K68" i="1"/>
  <c r="J68" i="1"/>
  <c r="I68" i="1"/>
  <c r="I62" i="1"/>
  <c r="D61" i="1"/>
  <c r="K62" i="1" s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P50" i="1" s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J37" i="1"/>
  <c r="I37" i="1"/>
  <c r="L36" i="1"/>
  <c r="K36" i="1"/>
  <c r="J36" i="1"/>
  <c r="I36" i="1"/>
  <c r="D29" i="1"/>
  <c r="K30" i="1" s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P18" i="1" s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P15" i="1" s="1"/>
  <c r="L5" i="1"/>
  <c r="K5" i="1"/>
  <c r="J5" i="1"/>
  <c r="I5" i="1"/>
  <c r="L4" i="1"/>
  <c r="K4" i="1"/>
  <c r="J4" i="1"/>
  <c r="I4" i="1"/>
  <c r="P678" i="1" l="1"/>
  <c r="B51" i="2" s="1"/>
  <c r="R230" i="1"/>
  <c r="R523" i="1"/>
  <c r="A46" i="2" s="1"/>
  <c r="P143" i="1"/>
  <c r="B157" i="1"/>
  <c r="B637" i="1"/>
  <c r="P623" i="1"/>
  <c r="R646" i="1"/>
  <c r="P70" i="1"/>
  <c r="B32" i="2" s="1"/>
  <c r="P689" i="1"/>
  <c r="P209" i="1"/>
  <c r="C221" i="1"/>
  <c r="R486" i="1"/>
  <c r="R199" i="1"/>
  <c r="B317" i="1"/>
  <c r="P303" i="1"/>
  <c r="P304" i="1"/>
  <c r="B189" i="1"/>
  <c r="P175" i="1"/>
  <c r="P518" i="1"/>
  <c r="B46" i="2" s="1"/>
  <c r="P516" i="1"/>
  <c r="P517" i="1" s="1"/>
  <c r="B18" i="2" s="1"/>
  <c r="P783" i="1"/>
  <c r="B797" i="1"/>
  <c r="P519" i="1"/>
  <c r="P271" i="1"/>
  <c r="P655" i="1"/>
  <c r="R103" i="1"/>
  <c r="P647" i="1"/>
  <c r="B125" i="1"/>
  <c r="P240" i="1"/>
  <c r="B413" i="1"/>
  <c r="P550" i="1"/>
  <c r="B47" i="2" s="1"/>
  <c r="P591" i="1"/>
  <c r="B605" i="1"/>
  <c r="P7" i="1"/>
  <c r="P16" i="1"/>
  <c r="P207" i="1"/>
  <c r="B221" i="1"/>
  <c r="P326" i="1"/>
  <c r="B40" i="2" s="1"/>
  <c r="P199" i="1"/>
  <c r="P113" i="1"/>
  <c r="P433" i="1"/>
  <c r="R517" i="1"/>
  <c r="R518" i="1"/>
  <c r="B829" i="1"/>
  <c r="P39" i="1"/>
  <c r="R390" i="1"/>
  <c r="P103" i="1"/>
  <c r="C125" i="1"/>
  <c r="C317" i="1"/>
  <c r="P305" i="1"/>
  <c r="C349" i="1"/>
  <c r="P324" i="1" s="1"/>
  <c r="P325" i="1" s="1"/>
  <c r="B12" i="2" s="1"/>
  <c r="P688" i="1"/>
  <c r="C29" i="1"/>
  <c r="B253" i="1"/>
  <c r="P306" i="1"/>
  <c r="P432" i="1"/>
  <c r="P423" i="1"/>
  <c r="P786" i="1"/>
  <c r="P177" i="1"/>
  <c r="C189" i="1"/>
  <c r="C157" i="1"/>
  <c r="P145" i="1"/>
  <c r="P231" i="1"/>
  <c r="P369" i="1"/>
  <c r="P367" i="1"/>
  <c r="B381" i="1"/>
  <c r="B509" i="1"/>
  <c r="P529" i="1"/>
  <c r="B669" i="1"/>
  <c r="C61" i="1"/>
  <c r="C93" i="1"/>
  <c r="R135" i="1"/>
  <c r="P146" i="1"/>
  <c r="P210" i="1"/>
  <c r="P487" i="1"/>
  <c r="P592" i="1"/>
  <c r="R711" i="1"/>
  <c r="P775" i="1"/>
  <c r="P784" i="1"/>
  <c r="P807" i="1"/>
  <c r="P337" i="1"/>
  <c r="P359" i="1"/>
  <c r="P402" i="1"/>
  <c r="C445" i="1"/>
  <c r="B477" i="1"/>
  <c r="P463" i="1"/>
  <c r="C573" i="1"/>
  <c r="P615" i="1"/>
  <c r="P624" i="1"/>
  <c r="C733" i="1"/>
  <c r="P721" i="1"/>
  <c r="B765" i="1"/>
  <c r="P785" i="1"/>
  <c r="C829" i="1"/>
  <c r="R262" i="1"/>
  <c r="R327" i="1"/>
  <c r="C381" i="1"/>
  <c r="P464" i="1"/>
  <c r="P562" i="1"/>
  <c r="C605" i="1"/>
  <c r="P625" i="1"/>
  <c r="P690" i="1"/>
  <c r="R679" i="1"/>
  <c r="R683" i="1" s="1"/>
  <c r="A51" i="2" s="1"/>
  <c r="R775" i="1"/>
  <c r="P274" i="1"/>
  <c r="P400" i="1"/>
  <c r="B445" i="1"/>
  <c r="B733" i="1"/>
  <c r="P560" i="1"/>
  <c r="C701" i="1"/>
  <c r="P676" i="1" s="1"/>
  <c r="P677" i="1" s="1"/>
  <c r="B23" i="2" s="1"/>
  <c r="P816" i="1"/>
  <c r="P817" i="1"/>
  <c r="P71" i="1"/>
  <c r="K94" i="1"/>
  <c r="P167" i="1"/>
  <c r="P263" i="1"/>
  <c r="R7" i="1"/>
  <c r="R39" i="1"/>
  <c r="P401" i="1"/>
  <c r="P112" i="1"/>
  <c r="P111" i="1"/>
  <c r="R167" i="1"/>
  <c r="P242" i="1"/>
  <c r="P273" i="1"/>
  <c r="P49" i="1"/>
  <c r="P593" i="1"/>
  <c r="P743" i="1"/>
  <c r="P17" i="1"/>
  <c r="R15" i="1" s="1"/>
  <c r="R359" i="1"/>
  <c r="P79" i="1"/>
  <c r="I158" i="1"/>
  <c r="K126" i="1"/>
  <c r="C637" i="1"/>
  <c r="P687" i="1"/>
  <c r="C477" i="1"/>
  <c r="P465" i="1"/>
  <c r="P498" i="1"/>
  <c r="R583" i="1"/>
  <c r="P594" i="1"/>
  <c r="R615" i="1"/>
  <c r="P753" i="1"/>
  <c r="C765" i="1"/>
  <c r="P241" i="1"/>
  <c r="B285" i="1"/>
  <c r="R455" i="1"/>
  <c r="P657" i="1"/>
  <c r="R743" i="1"/>
  <c r="P530" i="1"/>
  <c r="R647" i="1"/>
  <c r="P658" i="1"/>
  <c r="B29" i="1"/>
  <c r="B61" i="1"/>
  <c r="P47" i="1"/>
  <c r="P370" i="1"/>
  <c r="P561" i="1"/>
  <c r="P818" i="1"/>
  <c r="P48" i="1"/>
  <c r="P466" i="1"/>
  <c r="R71" i="1"/>
  <c r="R75" i="1" s="1"/>
  <c r="A32" i="2" s="1"/>
  <c r="P82" i="1"/>
  <c r="P114" i="1"/>
  <c r="P144" i="1"/>
  <c r="P495" i="1"/>
  <c r="C797" i="1"/>
  <c r="P178" i="1"/>
  <c r="R263" i="1"/>
  <c r="P754" i="1"/>
  <c r="P751" i="1"/>
  <c r="P335" i="1"/>
  <c r="P368" i="1"/>
  <c r="P528" i="1"/>
  <c r="P742" i="1" l="1"/>
  <c r="B53" i="2" s="1"/>
  <c r="P740" i="1"/>
  <c r="P741" i="1"/>
  <c r="B25" i="2" s="1"/>
  <c r="P294" i="1"/>
  <c r="P292" i="1"/>
  <c r="P293" i="1" s="1"/>
  <c r="B11" i="2" s="1"/>
  <c r="P390" i="1"/>
  <c r="P388" i="1"/>
  <c r="R389" i="1" s="1"/>
  <c r="P422" i="1"/>
  <c r="P420" i="1"/>
  <c r="R421" i="1" s="1"/>
  <c r="R139" i="1"/>
  <c r="A34" i="2" s="1"/>
  <c r="R6" i="1"/>
  <c r="R5" i="1"/>
  <c r="P452" i="1"/>
  <c r="P454" i="1"/>
  <c r="B44" i="2" s="1"/>
  <c r="P453" i="1"/>
  <c r="B16" i="2" s="1"/>
  <c r="R422" i="1"/>
  <c r="R294" i="1"/>
  <c r="R293" i="1"/>
  <c r="R582" i="1"/>
  <c r="R581" i="1"/>
  <c r="P196" i="1"/>
  <c r="R197" i="1" s="1"/>
  <c r="P198" i="1"/>
  <c r="B36" i="2" s="1"/>
  <c r="P197" i="1"/>
  <c r="B8" i="2" s="1"/>
  <c r="P105" i="1"/>
  <c r="A61" i="2" s="1"/>
  <c r="P36" i="1"/>
  <c r="P38" i="1"/>
  <c r="B31" i="2" s="1"/>
  <c r="P37" i="1"/>
  <c r="B3" i="2" s="1"/>
  <c r="R105" i="1"/>
  <c r="R73" i="1"/>
  <c r="R331" i="1"/>
  <c r="A40" i="2" s="1"/>
  <c r="R134" i="1"/>
  <c r="R133" i="1"/>
  <c r="P9" i="1"/>
  <c r="I190" i="1"/>
  <c r="K158" i="1"/>
  <c r="P41" i="1"/>
  <c r="R166" i="1"/>
  <c r="P806" i="1"/>
  <c r="P804" i="1"/>
  <c r="P805" i="1" s="1"/>
  <c r="B27" i="2" s="1"/>
  <c r="P166" i="1"/>
  <c r="B35" i="2" s="1"/>
  <c r="P164" i="1"/>
  <c r="R165" i="1" s="1"/>
  <c r="P165" i="1"/>
  <c r="B7" i="2" s="1"/>
  <c r="P612" i="1"/>
  <c r="R613" i="1" s="1"/>
  <c r="P614" i="1"/>
  <c r="B49" i="2" s="1"/>
  <c r="P613" i="1"/>
  <c r="B21" i="2" s="1"/>
  <c r="R773" i="1"/>
  <c r="R774" i="1"/>
  <c r="R677" i="1"/>
  <c r="R678" i="1"/>
  <c r="P261" i="1"/>
  <c r="B10" i="2" s="1"/>
  <c r="P260" i="1"/>
  <c r="R261" i="1" s="1"/>
  <c r="P262" i="1"/>
  <c r="B38" i="2" s="1"/>
  <c r="P710" i="1"/>
  <c r="B52" i="2" s="1"/>
  <c r="P708" i="1"/>
  <c r="P709" i="1" s="1"/>
  <c r="B24" i="2" s="1"/>
  <c r="R710" i="1"/>
  <c r="R709" i="1"/>
  <c r="R742" i="1"/>
  <c r="R741" i="1"/>
  <c r="R70" i="1"/>
  <c r="P230" i="1"/>
  <c r="P229" i="1"/>
  <c r="B9" i="2" s="1"/>
  <c r="P228" i="1"/>
  <c r="R229" i="1" s="1"/>
  <c r="P100" i="1"/>
  <c r="P101" i="1" s="1"/>
  <c r="B5" i="2" s="1"/>
  <c r="P102" i="1"/>
  <c r="B33" i="2" s="1"/>
  <c r="R37" i="1"/>
  <c r="R38" i="1"/>
  <c r="R198" i="1"/>
  <c r="R171" i="1"/>
  <c r="A35" i="2" s="1"/>
  <c r="R550" i="1"/>
  <c r="P644" i="1"/>
  <c r="R645" i="1" s="1"/>
  <c r="P646" i="1"/>
  <c r="B50" i="2" s="1"/>
  <c r="P645" i="1"/>
  <c r="B22" i="2" s="1"/>
  <c r="R107" i="1"/>
  <c r="A33" i="2" s="1"/>
  <c r="R326" i="1"/>
  <c r="R325" i="1"/>
  <c r="P484" i="1"/>
  <c r="R485" i="1" s="1"/>
  <c r="P485" i="1"/>
  <c r="B17" i="2" s="1"/>
  <c r="P486" i="1"/>
  <c r="P356" i="1"/>
  <c r="R357" i="1" s="1"/>
  <c r="P357" i="1"/>
  <c r="B13" i="2" s="1"/>
  <c r="P358" i="1"/>
  <c r="B41" i="2" s="1"/>
  <c r="R43" i="1"/>
  <c r="A31" i="2" s="1"/>
  <c r="R101" i="1"/>
  <c r="R102" i="1"/>
  <c r="P772" i="1"/>
  <c r="P774" i="1"/>
  <c r="B54" i="2" s="1"/>
  <c r="P773" i="1"/>
  <c r="B26" i="2" s="1"/>
  <c r="R454" i="1"/>
  <c r="R453" i="1"/>
  <c r="P68" i="1"/>
  <c r="P69" i="1" s="1"/>
  <c r="B4" i="2" s="1"/>
  <c r="P6" i="1"/>
  <c r="B30" i="2" s="1"/>
  <c r="P4" i="1"/>
  <c r="P5" i="1"/>
  <c r="B2" i="2" s="1"/>
  <c r="R614" i="1"/>
  <c r="R358" i="1"/>
  <c r="P73" i="1"/>
  <c r="A60" i="2" s="1"/>
  <c r="P582" i="1"/>
  <c r="B48" i="2" s="1"/>
  <c r="P580" i="1"/>
  <c r="P581" i="1"/>
  <c r="B20" i="2" s="1"/>
  <c r="R747" i="1"/>
  <c r="A53" i="2" s="1"/>
  <c r="R363" i="1"/>
  <c r="A41" i="2" s="1"/>
  <c r="R805" i="1"/>
  <c r="R806" i="1"/>
  <c r="P548" i="1"/>
  <c r="P549" i="1" s="1"/>
  <c r="B19" i="2" s="1"/>
  <c r="P133" i="1"/>
  <c r="B6" i="2" s="1"/>
  <c r="P134" i="1"/>
  <c r="B34" i="2" s="1"/>
  <c r="P132" i="1"/>
  <c r="R555" i="1"/>
  <c r="A47" i="2" s="1"/>
  <c r="I222" i="1" l="1"/>
  <c r="K190" i="1"/>
  <c r="A2" i="2"/>
  <c r="A3" i="2" s="1"/>
  <c r="A4" i="2" s="1"/>
  <c r="A5" i="2" s="1"/>
  <c r="A58" i="2"/>
  <c r="R9" i="1"/>
  <c r="P137" i="1"/>
  <c r="A62" i="2" s="1"/>
  <c r="B39" i="2"/>
  <c r="R299" i="1"/>
  <c r="A39" i="2" s="1"/>
  <c r="P421" i="1"/>
  <c r="B15" i="2" s="1"/>
  <c r="B42" i="2"/>
  <c r="R395" i="1"/>
  <c r="A42" i="2" s="1"/>
  <c r="R651" i="1"/>
  <c r="A50" i="2" s="1"/>
  <c r="R69" i="1"/>
  <c r="B43" i="2"/>
  <c r="R427" i="1"/>
  <c r="A43" i="2" s="1"/>
  <c r="R549" i="1"/>
  <c r="R203" i="1"/>
  <c r="A36" i="2" s="1"/>
  <c r="P389" i="1"/>
  <c r="B14" i="2" s="1"/>
  <c r="B37" i="2"/>
  <c r="R235" i="1"/>
  <c r="A37" i="2" s="1"/>
  <c r="B55" i="2"/>
  <c r="R811" i="1"/>
  <c r="A55" i="2" s="1"/>
  <c r="B45" i="2"/>
  <c r="R491" i="1"/>
  <c r="A45" i="2" s="1"/>
  <c r="R715" i="1"/>
  <c r="A52" i="2" s="1"/>
  <c r="R587" i="1"/>
  <c r="A48" i="2" s="1"/>
  <c r="R459" i="1"/>
  <c r="A44" i="2" s="1"/>
  <c r="R267" i="1"/>
  <c r="A38" i="2" s="1"/>
  <c r="R779" i="1"/>
  <c r="A54" i="2" s="1"/>
  <c r="A59" i="2"/>
  <c r="R41" i="1"/>
  <c r="R619" i="1"/>
  <c r="A49" i="2" s="1"/>
  <c r="R11" i="1"/>
  <c r="A30" i="2" s="1"/>
  <c r="A6" i="2" l="1"/>
  <c r="P169" i="1"/>
  <c r="A63" i="2" s="1"/>
  <c r="I254" i="1"/>
  <c r="K222" i="1"/>
  <c r="R137" i="1"/>
  <c r="P201" i="1" l="1"/>
  <c r="A64" i="2" s="1"/>
  <c r="K254" i="1"/>
  <c r="I286" i="1"/>
  <c r="R169" i="1"/>
  <c r="A7" i="2"/>
  <c r="A8" i="2" s="1"/>
  <c r="K286" i="1" l="1"/>
  <c r="I318" i="1"/>
  <c r="P233" i="1"/>
  <c r="A65" i="2" s="1"/>
  <c r="R201" i="1"/>
  <c r="R233" i="1" l="1"/>
  <c r="K318" i="1"/>
  <c r="I350" i="1"/>
  <c r="P265" i="1"/>
  <c r="A66" i="2" s="1"/>
  <c r="A9" i="2"/>
  <c r="A10" i="2" s="1"/>
  <c r="A11" i="2" l="1"/>
  <c r="R265" i="1"/>
  <c r="I382" i="1"/>
  <c r="K350" i="1"/>
  <c r="P297" i="1"/>
  <c r="A67" i="2" s="1"/>
  <c r="R297" i="1" l="1"/>
  <c r="P329" i="1"/>
  <c r="A68" i="2" s="1"/>
  <c r="I414" i="1"/>
  <c r="K382" i="1"/>
  <c r="P361" i="1" l="1"/>
  <c r="A69" i="2" s="1"/>
  <c r="R329" i="1"/>
  <c r="K414" i="1"/>
  <c r="I446" i="1"/>
  <c r="A12" i="2"/>
  <c r="A13" i="2" l="1"/>
  <c r="I478" i="1"/>
  <c r="K446" i="1"/>
  <c r="P393" i="1"/>
  <c r="A70" i="2" s="1"/>
  <c r="R361" i="1"/>
  <c r="R393" i="1" l="1"/>
  <c r="P425" i="1"/>
  <c r="A71" i="2" s="1"/>
  <c r="K478" i="1"/>
  <c r="I510" i="1"/>
  <c r="A14" i="2"/>
  <c r="A15" i="2" s="1"/>
  <c r="I542" i="1" l="1"/>
  <c r="K510" i="1"/>
  <c r="P457" i="1"/>
  <c r="A72" i="2" s="1"/>
  <c r="R425" i="1"/>
  <c r="R457" i="1" l="1"/>
  <c r="P489" i="1"/>
  <c r="A73" i="2" s="1"/>
  <c r="I574" i="1"/>
  <c r="K542" i="1"/>
  <c r="A16" i="2"/>
  <c r="A17" i="2" s="1"/>
  <c r="P521" i="1" l="1"/>
  <c r="A74" i="2" s="1"/>
  <c r="K574" i="1"/>
  <c r="I606" i="1"/>
  <c r="R489" i="1"/>
  <c r="I638" i="1" l="1"/>
  <c r="K606" i="1"/>
  <c r="P553" i="1"/>
  <c r="A75" i="2" s="1"/>
  <c r="R521" i="1"/>
  <c r="A18" i="2"/>
  <c r="A19" i="2" s="1"/>
  <c r="R553" i="1" l="1"/>
  <c r="P585" i="1"/>
  <c r="A76" i="2" s="1"/>
  <c r="K638" i="1"/>
  <c r="I670" i="1"/>
  <c r="K670" i="1" l="1"/>
  <c r="I702" i="1"/>
  <c r="P617" i="1"/>
  <c r="A77" i="2" s="1"/>
  <c r="R585" i="1"/>
  <c r="A20" i="2"/>
  <c r="A21" i="2" s="1"/>
  <c r="R617" i="1" l="1"/>
  <c r="I734" i="1"/>
  <c r="K702" i="1"/>
  <c r="P649" i="1"/>
  <c r="A78" i="2" s="1"/>
  <c r="R649" i="1" l="1"/>
  <c r="P681" i="1"/>
  <c r="A79" i="2" s="1"/>
  <c r="K734" i="1"/>
  <c r="I766" i="1"/>
  <c r="A22" i="2"/>
  <c r="A23" i="2" s="1"/>
  <c r="K766" i="1" l="1"/>
  <c r="I798" i="1"/>
  <c r="P713" i="1"/>
  <c r="A80" i="2" s="1"/>
  <c r="R681" i="1"/>
  <c r="R713" i="1" l="1"/>
  <c r="I830" i="1"/>
  <c r="K830" i="1" s="1"/>
  <c r="K798" i="1"/>
  <c r="P745" i="1"/>
  <c r="A81" i="2" s="1"/>
  <c r="A24" i="2"/>
  <c r="A25" i="2" s="1"/>
  <c r="R745" i="1" l="1"/>
  <c r="P777" i="1"/>
  <c r="A82" i="2" s="1"/>
  <c r="P809" i="1"/>
  <c r="A83" i="2" s="1"/>
  <c r="R809" i="1" l="1"/>
  <c r="R777" i="1"/>
  <c r="A26" i="2"/>
  <c r="A27" i="2" s="1"/>
</calcChain>
</file>

<file path=xl/sharedStrings.xml><?xml version="1.0" encoding="utf-8"?>
<sst xmlns="http://schemas.openxmlformats.org/spreadsheetml/2006/main" count="921" uniqueCount="43">
  <si>
    <t>ใส่เงินลงทุนเริ่มต้น &gt;&gt;&gt;&gt;&gt;&gt;&gt;&gt;</t>
  </si>
  <si>
    <t>Play 4H</t>
  </si>
  <si>
    <t>Open</t>
  </si>
  <si>
    <t>Close</t>
  </si>
  <si>
    <t>Gain</t>
  </si>
  <si>
    <t>Loss</t>
  </si>
  <si>
    <t>Feedback</t>
  </si>
  <si>
    <t>Score Board</t>
  </si>
  <si>
    <t>Date</t>
  </si>
  <si>
    <t>Order</t>
  </si>
  <si>
    <t>Side</t>
  </si>
  <si>
    <t>Price</t>
  </si>
  <si>
    <t>Volume</t>
  </si>
  <si>
    <t>จุด</t>
  </si>
  <si>
    <t>Amount</t>
  </si>
  <si>
    <t>Accuracy &amp; Gain/Loss perform</t>
  </si>
  <si>
    <t>17/3/2026</t>
  </si>
  <si>
    <t>L</t>
  </si>
  <si>
    <t>M</t>
  </si>
  <si>
    <t>Total Trade</t>
  </si>
  <si>
    <t>Winning Chance</t>
  </si>
  <si>
    <t>Loss Chance</t>
  </si>
  <si>
    <t>Average Gain</t>
  </si>
  <si>
    <t>Average Loss</t>
  </si>
  <si>
    <t>Total Gain</t>
  </si>
  <si>
    <t>Total Loss</t>
  </si>
  <si>
    <t>Performance</t>
  </si>
  <si>
    <t>Net Profit</t>
  </si>
  <si>
    <t>Cost rate</t>
  </si>
  <si>
    <t xml:space="preserve">Expected Return </t>
  </si>
  <si>
    <t>Top Ranking</t>
  </si>
  <si>
    <t>Best Gain</t>
  </si>
  <si>
    <t>Best Gain Amount</t>
  </si>
  <si>
    <t>Bad Loss</t>
  </si>
  <si>
    <t>Bad Loss Amount</t>
  </si>
  <si>
    <t>calculate</t>
  </si>
  <si>
    <t>Commission per CON</t>
  </si>
  <si>
    <t>Com &amp; Vat</t>
  </si>
  <si>
    <t>port</t>
  </si>
  <si>
    <t>win%</t>
  </si>
  <si>
    <t>ex r</t>
  </si>
  <si>
    <t>avg gain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</si>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</sst>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฿&quot;#,##0.00"/>
    <numFmt numFmtId="165" formatCode="###.##\ &quot;%&quot;"/>
    <numFmt numFmtId="166" formatCode="###,###,###"/>
  </numFmts>
  <fonts count="26">
    <font>
      <sz val="11"/>
      <color theme="1"/>
      <name val="Calibri"/>
      <scheme val="minor"/>
    </font>
    <font>
      <sz val="11"/>
      <color theme="1"/>
      <name val="Tahoma"/>
    </font>
    <font>
      <sz val="11"/>
      <color theme="1"/>
      <name val="Calibri"/>
      <scheme val="minor"/>
    </font>
    <font>
      <sz val="14"/>
      <color theme="1"/>
      <name val="Tahoma"/>
    </font>
    <font>
      <sz val="11"/>
      <name val="Calibri"/>
    </font>
    <font>
      <b/>
      <sz val="14"/>
      <color theme="1"/>
      <name val="Tahoma"/>
    </font>
    <font>
      <b/>
      <sz val="11"/>
      <color theme="1"/>
      <name val="Calibri"/>
      <scheme val="minor"/>
    </font>
    <font>
      <b/>
      <sz val="20"/>
      <color theme="1"/>
      <name val="Tahoma"/>
    </font>
    <font>
      <i/>
      <u/>
      <sz val="16"/>
      <color theme="1"/>
      <name val="Tahoma"/>
    </font>
    <font>
      <b/>
      <sz val="14"/>
      <color rgb="FF00B050"/>
      <name val="Tahoma"/>
    </font>
    <font>
      <b/>
      <sz val="14"/>
      <color rgb="FFFF0000"/>
      <name val="Tahoma"/>
    </font>
    <font>
      <i/>
      <u/>
      <sz val="16"/>
      <color theme="1"/>
      <name val="Tahoma"/>
    </font>
    <font>
      <b/>
      <sz val="16"/>
      <color theme="1"/>
      <name val="Tahoma"/>
    </font>
    <font>
      <b/>
      <i/>
      <u/>
      <sz val="18"/>
      <color theme="1"/>
      <name val="Tahoma"/>
    </font>
    <font>
      <b/>
      <i/>
      <u/>
      <sz val="18"/>
      <color theme="1"/>
      <name val="Tahoma"/>
    </font>
    <font>
      <b/>
      <i/>
      <u/>
      <sz val="22"/>
      <color theme="1"/>
      <name val="Tahoma"/>
    </font>
    <font>
      <sz val="14"/>
      <color rgb="FF00B050"/>
      <name val="Tahoma"/>
    </font>
    <font>
      <sz val="14"/>
      <color rgb="FFFF0000"/>
      <name val="Tahoma"/>
    </font>
    <font>
      <sz val="14"/>
      <color rgb="FFE7E6E6"/>
      <name val="Tahoma"/>
    </font>
    <font>
      <b/>
      <sz val="14"/>
      <color theme="4"/>
      <name val="Tahoma"/>
    </font>
    <font>
      <sz val="11"/>
      <color rgb="FFE7E6E6"/>
      <name val="Tahoma"/>
    </font>
    <font>
      <i/>
      <u/>
      <sz val="16"/>
      <color theme="1"/>
      <name val="Tahoma"/>
    </font>
    <font>
      <i/>
      <u/>
      <sz val="16"/>
      <color theme="1"/>
      <name val="Tahoma"/>
    </font>
    <font>
      <b/>
      <i/>
      <u/>
      <sz val="18"/>
      <color theme="1"/>
      <name val="Tahoma"/>
    </font>
    <font>
      <b/>
      <i/>
      <u/>
      <sz val="18"/>
      <color theme="1"/>
      <name val="Tahoma"/>
    </font>
    <font>
      <b/>
      <i/>
      <u/>
      <sz val="22"/>
      <color theme="1"/>
      <name val="Tahoma"/>
    </font>
  </fonts>
  <fills count="13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theme="1"/>
        <bgColor theme="1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5" fillId="5" borderId="21" xfId="0" applyFont="1" applyFill="1" applyBorder="1" applyAlignment="1">
      <alignment horizontal="center"/>
    </xf>
    <xf numFmtId="1" fontId="5" fillId="5" borderId="16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5" fillId="4" borderId="24" xfId="0" applyFont="1" applyFill="1" applyBorder="1" applyAlignment="1">
      <alignment horizontal="center"/>
    </xf>
    <xf numFmtId="165" fontId="9" fillId="4" borderId="16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/>
    </xf>
    <xf numFmtId="165" fontId="10" fillId="4" borderId="26" xfId="0" applyNumberFormat="1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/>
    </xf>
    <xf numFmtId="2" fontId="9" fillId="3" borderId="16" xfId="0" applyNumberFormat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2" fontId="10" fillId="3" borderId="26" xfId="0" applyNumberFormat="1" applyFont="1" applyFill="1" applyBorder="1" applyAlignment="1">
      <alignment horizontal="center" vertical="center"/>
    </xf>
    <xf numFmtId="14" fontId="3" fillId="4" borderId="14" xfId="0" applyNumberFormat="1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166" fontId="9" fillId="4" borderId="28" xfId="0" applyNumberFormat="1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/>
    </xf>
    <xf numFmtId="166" fontId="10" fillId="4" borderId="30" xfId="0" applyNumberFormat="1" applyFont="1" applyFill="1" applyBorder="1" applyAlignment="1">
      <alignment horizontal="center" vertical="center"/>
    </xf>
    <xf numFmtId="14" fontId="3" fillId="3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2" fillId="4" borderId="0" xfId="0" applyFont="1" applyFill="1"/>
    <xf numFmtId="0" fontId="2" fillId="3" borderId="0" xfId="0" applyFont="1" applyFill="1"/>
    <xf numFmtId="0" fontId="3" fillId="4" borderId="43" xfId="0" applyFont="1" applyFill="1" applyBorder="1" applyAlignment="1">
      <alignment horizontal="left" vertical="top"/>
    </xf>
    <xf numFmtId="0" fontId="3" fillId="3" borderId="24" xfId="0" applyFont="1" applyFill="1" applyBorder="1" applyAlignment="1">
      <alignment horizontal="left" vertical="top"/>
    </xf>
    <xf numFmtId="0" fontId="3" fillId="4" borderId="24" xfId="0" applyFont="1" applyFill="1" applyBorder="1" applyAlignment="1">
      <alignment vertical="top"/>
    </xf>
    <xf numFmtId="0" fontId="3" fillId="3" borderId="27" xfId="0" applyFont="1" applyFill="1" applyBorder="1" applyAlignment="1">
      <alignment vertical="top"/>
    </xf>
    <xf numFmtId="0" fontId="18" fillId="4" borderId="46" xfId="0" applyFont="1" applyFill="1" applyBorder="1" applyAlignment="1">
      <alignment horizontal="center"/>
    </xf>
    <xf numFmtId="0" fontId="18" fillId="3" borderId="16" xfId="0" applyFont="1" applyFill="1" applyBorder="1"/>
    <xf numFmtId="0" fontId="20" fillId="4" borderId="28" xfId="0" applyFont="1" applyFill="1" applyBorder="1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16" fontId="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165" fontId="9" fillId="5" borderId="16" xfId="0" applyNumberFormat="1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/>
    </xf>
    <xf numFmtId="165" fontId="10" fillId="5" borderId="26" xfId="0" applyNumberFormat="1" applyFont="1" applyFill="1" applyBorder="1" applyAlignment="1">
      <alignment horizontal="center" vertical="center"/>
    </xf>
    <xf numFmtId="2" fontId="9" fillId="5" borderId="16" xfId="0" applyNumberFormat="1" applyFont="1" applyFill="1" applyBorder="1" applyAlignment="1">
      <alignment horizontal="center" vertical="center"/>
    </xf>
    <xf numFmtId="2" fontId="10" fillId="5" borderId="26" xfId="0" applyNumberFormat="1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/>
    </xf>
    <xf numFmtId="166" fontId="9" fillId="5" borderId="28" xfId="0" applyNumberFormat="1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/>
    </xf>
    <xf numFmtId="166" fontId="10" fillId="5" borderId="30" xfId="0" applyNumberFormat="1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left" vertical="top"/>
    </xf>
    <xf numFmtId="0" fontId="3" fillId="5" borderId="24" xfId="0" applyFont="1" applyFill="1" applyBorder="1" applyAlignment="1">
      <alignment horizontal="left" vertical="top"/>
    </xf>
    <xf numFmtId="0" fontId="3" fillId="5" borderId="24" xfId="0" applyFont="1" applyFill="1" applyBorder="1" applyAlignment="1">
      <alignment vertical="top"/>
    </xf>
    <xf numFmtId="0" fontId="3" fillId="5" borderId="27" xfId="0" applyFont="1" applyFill="1" applyBorder="1" applyAlignment="1">
      <alignment vertical="top"/>
    </xf>
    <xf numFmtId="0" fontId="18" fillId="11" borderId="46" xfId="0" applyFont="1" applyFill="1" applyBorder="1" applyAlignment="1">
      <alignment horizontal="center"/>
    </xf>
    <xf numFmtId="0" fontId="18" fillId="11" borderId="16" xfId="0" applyFont="1" applyFill="1" applyBorder="1"/>
    <xf numFmtId="0" fontId="20" fillId="11" borderId="28" xfId="0" applyFont="1" applyFill="1" applyBorder="1"/>
    <xf numFmtId="0" fontId="3" fillId="10" borderId="48" xfId="0" applyFont="1" applyFill="1" applyBorder="1" applyAlignment="1">
      <alignment horizontal="center"/>
    </xf>
    <xf numFmtId="0" fontId="1" fillId="12" borderId="16" xfId="0" applyFont="1" applyFill="1" applyBorder="1"/>
    <xf numFmtId="1" fontId="1" fillId="12" borderId="16" xfId="0" applyNumberFormat="1" applyFont="1" applyFill="1" applyBorder="1"/>
    <xf numFmtId="165" fontId="1" fillId="12" borderId="16" xfId="0" applyNumberFormat="1" applyFont="1" applyFill="1" applyBorder="1"/>
    <xf numFmtId="2" fontId="1" fillId="12" borderId="16" xfId="0" applyNumberFormat="1" applyFont="1" applyFill="1" applyBorder="1"/>
    <xf numFmtId="166" fontId="1" fillId="12" borderId="16" xfId="0" applyNumberFormat="1" applyFont="1" applyFill="1" applyBorder="1"/>
    <xf numFmtId="0" fontId="3" fillId="10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3" fillId="0" borderId="1" xfId="0" applyFont="1" applyBorder="1" applyAlignment="1">
      <alignment horizontal="center"/>
    </xf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38" xfId="0" applyFont="1" applyBorder="1" applyAlignment="1">
      <alignment horizontal="center" vertical="center"/>
    </xf>
    <xf numFmtId="0" fontId="4" fillId="0" borderId="40" xfId="0" applyFont="1" applyBorder="1"/>
    <xf numFmtId="0" fontId="4" fillId="0" borderId="8" xfId="0" applyFont="1" applyBorder="1"/>
    <xf numFmtId="0" fontId="4" fillId="0" borderId="9" xfId="0" applyFont="1" applyBorder="1"/>
    <xf numFmtId="164" fontId="19" fillId="0" borderId="39" xfId="0" applyNumberFormat="1" applyFont="1" applyBorder="1" applyAlignment="1">
      <alignment horizontal="center" vertical="center"/>
    </xf>
    <xf numFmtId="0" fontId="4" fillId="0" borderId="10" xfId="0" applyFont="1" applyBorder="1"/>
    <xf numFmtId="0" fontId="4" fillId="0" borderId="6" xfId="0" applyFont="1" applyBorder="1"/>
    <xf numFmtId="0" fontId="5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7" borderId="31" xfId="0" applyFont="1" applyFill="1" applyBorder="1" applyAlignment="1">
      <alignment horizontal="center" vertical="center"/>
    </xf>
    <xf numFmtId="0" fontId="4" fillId="0" borderId="33" xfId="0" applyFont="1" applyBorder="1"/>
    <xf numFmtId="0" fontId="5" fillId="8" borderId="4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21" fillId="5" borderId="11" xfId="0" applyFont="1" applyFill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3" fillId="5" borderId="22" xfId="0" applyFont="1" applyFill="1" applyBorder="1" applyAlignment="1">
      <alignment horizontal="center"/>
    </xf>
    <xf numFmtId="0" fontId="4" fillId="0" borderId="23" xfId="0" applyFont="1" applyBorder="1"/>
    <xf numFmtId="0" fontId="3" fillId="0" borderId="8" xfId="0" applyFont="1" applyBorder="1" applyAlignment="1">
      <alignment horizontal="center"/>
    </xf>
    <xf numFmtId="0" fontId="3" fillId="10" borderId="31" xfId="0" applyFont="1" applyFill="1" applyBorder="1" applyAlignment="1">
      <alignment horizontal="center"/>
    </xf>
    <xf numFmtId="0" fontId="4" fillId="0" borderId="32" xfId="0" applyFont="1" applyBorder="1"/>
    <xf numFmtId="0" fontId="17" fillId="5" borderId="17" xfId="0" applyFont="1" applyFill="1" applyBorder="1" applyAlignment="1">
      <alignment horizontal="center"/>
    </xf>
    <xf numFmtId="166" fontId="17" fillId="5" borderId="44" xfId="0" applyNumberFormat="1" applyFont="1" applyFill="1" applyBorder="1" applyAlignment="1">
      <alignment horizontal="center" vertical="center"/>
    </xf>
    <xf numFmtId="0" fontId="4" fillId="0" borderId="45" xfId="0" applyFont="1" applyBorder="1"/>
    <xf numFmtId="166" fontId="16" fillId="5" borderId="17" xfId="0" applyNumberFormat="1" applyFont="1" applyFill="1" applyBorder="1" applyAlignment="1">
      <alignment horizontal="center"/>
    </xf>
    <xf numFmtId="0" fontId="7" fillId="5" borderId="38" xfId="0" applyFont="1" applyFill="1" applyBorder="1" applyAlignment="1">
      <alignment horizontal="center" vertical="center"/>
    </xf>
    <xf numFmtId="0" fontId="4" fillId="0" borderId="39" xfId="0" applyFont="1" applyBorder="1"/>
    <xf numFmtId="2" fontId="25" fillId="5" borderId="41" xfId="0" applyNumberFormat="1" applyFont="1" applyFill="1" applyBorder="1" applyAlignment="1">
      <alignment horizontal="center" vertical="center"/>
    </xf>
    <xf numFmtId="0" fontId="4" fillId="0" borderId="42" xfId="0" applyFont="1" applyBorder="1"/>
    <xf numFmtId="0" fontId="22" fillId="5" borderId="31" xfId="0" applyFont="1" applyFill="1" applyBorder="1" applyAlignment="1">
      <alignment horizontal="center"/>
    </xf>
    <xf numFmtId="0" fontId="12" fillId="5" borderId="34" xfId="0" applyFont="1" applyFill="1" applyBorder="1" applyAlignment="1">
      <alignment horizontal="center" vertical="center"/>
    </xf>
    <xf numFmtId="0" fontId="4" fillId="0" borderId="36" xfId="0" applyFont="1" applyBorder="1"/>
    <xf numFmtId="166" fontId="23" fillId="5" borderId="35" xfId="0" applyNumberFormat="1" applyFont="1" applyFill="1" applyBorder="1" applyAlignment="1">
      <alignment horizontal="center" vertical="center"/>
    </xf>
    <xf numFmtId="0" fontId="4" fillId="0" borderId="37" xfId="0" applyFont="1" applyBorder="1"/>
    <xf numFmtId="10" fontId="24" fillId="5" borderId="35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top"/>
    </xf>
    <xf numFmtId="0" fontId="16" fillId="5" borderId="1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4" fillId="4" borderId="19" xfId="0" applyFont="1" applyFill="1" applyBorder="1"/>
    <xf numFmtId="0" fontId="4" fillId="4" borderId="20" xfId="0" applyFont="1" applyFill="1" applyBorder="1"/>
    <xf numFmtId="0" fontId="3" fillId="3" borderId="18" xfId="0" applyFont="1" applyFill="1" applyBorder="1" applyAlignment="1">
      <alignment horizontal="center"/>
    </xf>
    <xf numFmtId="0" fontId="4" fillId="3" borderId="19" xfId="0" applyFont="1" applyFill="1" applyBorder="1"/>
    <xf numFmtId="0" fontId="4" fillId="3" borderId="20" xfId="0" applyFont="1" applyFill="1" applyBorder="1"/>
    <xf numFmtId="0" fontId="3" fillId="4" borderId="38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4" fillId="4" borderId="8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3" xfId="0" applyFont="1" applyFill="1" applyBorder="1"/>
    <xf numFmtId="164" fontId="5" fillId="2" borderId="4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4" fillId="3" borderId="3" xfId="0" applyFont="1" applyFill="1" applyBorder="1"/>
    <xf numFmtId="0" fontId="5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7" xfId="0" applyFont="1" applyFill="1" applyBorder="1"/>
    <xf numFmtId="0" fontId="7" fillId="4" borderId="38" xfId="0" applyFont="1" applyFill="1" applyBorder="1" applyAlignment="1">
      <alignment horizontal="center" vertical="center"/>
    </xf>
    <xf numFmtId="0" fontId="4" fillId="4" borderId="39" xfId="0" applyFont="1" applyFill="1" applyBorder="1"/>
    <xf numFmtId="0" fontId="4" fillId="4" borderId="40" xfId="0" applyFont="1" applyFill="1" applyBorder="1"/>
    <xf numFmtId="0" fontId="4" fillId="3" borderId="8" xfId="0" applyFont="1" applyFill="1" applyBorder="1"/>
    <xf numFmtId="0" fontId="4" fillId="3" borderId="10" xfId="0" applyFont="1" applyFill="1" applyBorder="1"/>
    <xf numFmtId="0" fontId="4" fillId="3" borderId="9" xfId="0" applyFont="1" applyFill="1" applyBorder="1"/>
    <xf numFmtId="2" fontId="15" fillId="4" borderId="41" xfId="0" applyNumberFormat="1" applyFont="1" applyFill="1" applyBorder="1" applyAlignment="1">
      <alignment horizontal="center" vertical="center"/>
    </xf>
    <xf numFmtId="0" fontId="4" fillId="3" borderId="42" xfId="0" applyFont="1" applyFill="1" applyBorder="1"/>
    <xf numFmtId="0" fontId="12" fillId="3" borderId="1" xfId="0" applyFont="1" applyFill="1" applyBorder="1" applyAlignment="1">
      <alignment horizontal="center" vertical="top"/>
    </xf>
    <xf numFmtId="0" fontId="16" fillId="4" borderId="17" xfId="0" applyFont="1" applyFill="1" applyBorder="1" applyAlignment="1">
      <alignment horizontal="center"/>
    </xf>
    <xf numFmtId="166" fontId="16" fillId="3" borderId="17" xfId="0" applyNumberFormat="1" applyFont="1" applyFill="1" applyBorder="1" applyAlignment="1">
      <alignment horizontal="center"/>
    </xf>
    <xf numFmtId="0" fontId="17" fillId="4" borderId="17" xfId="0" applyFont="1" applyFill="1" applyBorder="1" applyAlignment="1">
      <alignment horizontal="center"/>
    </xf>
    <xf numFmtId="166" fontId="17" fillId="3" borderId="44" xfId="0" applyNumberFormat="1" applyFont="1" applyFill="1" applyBorder="1" applyAlignment="1">
      <alignment horizontal="center" vertical="center"/>
    </xf>
    <xf numFmtId="0" fontId="4" fillId="3" borderId="45" xfId="0" applyFont="1" applyFill="1" applyBorder="1"/>
    <xf numFmtId="0" fontId="8" fillId="4" borderId="11" xfId="0" applyFont="1" applyFill="1" applyBorder="1" applyAlignment="1">
      <alignment horizontal="center"/>
    </xf>
    <xf numFmtId="0" fontId="4" fillId="4" borderId="12" xfId="0" applyFont="1" applyFill="1" applyBorder="1"/>
    <xf numFmtId="0" fontId="4" fillId="4" borderId="13" xfId="0" applyFont="1" applyFill="1" applyBorder="1"/>
    <xf numFmtId="0" fontId="4" fillId="3" borderId="23" xfId="0" applyFont="1" applyFill="1" applyBorder="1"/>
    <xf numFmtId="0" fontId="11" fillId="3" borderId="31" xfId="0" applyFont="1" applyFill="1" applyBorder="1" applyAlignment="1">
      <alignment horizontal="center"/>
    </xf>
    <xf numFmtId="0" fontId="4" fillId="3" borderId="32" xfId="0" applyFont="1" applyFill="1" applyBorder="1"/>
    <xf numFmtId="0" fontId="4" fillId="3" borderId="33" xfId="0" applyFont="1" applyFill="1" applyBorder="1"/>
    <xf numFmtId="0" fontId="12" fillId="4" borderId="34" xfId="0" applyFont="1" applyFill="1" applyBorder="1" applyAlignment="1">
      <alignment horizontal="center" vertical="center"/>
    </xf>
    <xf numFmtId="0" fontId="4" fillId="3" borderId="36" xfId="0" applyFont="1" applyFill="1" applyBorder="1"/>
    <xf numFmtId="166" fontId="13" fillId="4" borderId="35" xfId="0" applyNumberFormat="1" applyFont="1" applyFill="1" applyBorder="1" applyAlignment="1">
      <alignment horizontal="center" vertical="center"/>
    </xf>
    <xf numFmtId="0" fontId="4" fillId="3" borderId="37" xfId="0" applyFont="1" applyFill="1" applyBorder="1"/>
    <xf numFmtId="10" fontId="14" fillId="4" borderId="35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4" borderId="3" xfId="0" applyFont="1" applyFill="1" applyBorder="1"/>
    <xf numFmtId="0" fontId="3" fillId="4" borderId="2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 vertical="center"/>
    </xf>
    <xf numFmtId="0" fontId="4" fillId="3" borderId="40" xfId="0" applyFont="1" applyFill="1" applyBorder="1"/>
    <xf numFmtId="0" fontId="4" fillId="4" borderId="9" xfId="0" applyFont="1" applyFill="1" applyBorder="1"/>
    <xf numFmtId="164" fontId="19" fillId="3" borderId="39" xfId="0" applyNumberFormat="1" applyFont="1" applyFill="1" applyBorder="1" applyAlignment="1">
      <alignment horizontal="center" vertical="center"/>
    </xf>
    <xf numFmtId="0" fontId="4" fillId="4" borderId="10" xfId="0" applyFont="1" applyFill="1" applyBorder="1"/>
  </cellXfs>
  <cellStyles count="1">
    <cellStyle name="Normal" xfId="0" builtinId="0"/>
  </cellStyles>
  <dxfs count="78"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33CC"/>
          <bgColor rgb="FFFF33CC"/>
        </patternFill>
      </fill>
    </dxf>
    <dxf>
      <fill>
        <patternFill patternType="solid">
          <fgColor rgb="FF00CCFF"/>
          <bgColor rgb="FF00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800" b="1" i="0">
                <a:solidFill>
                  <a:schemeClr val="lt1"/>
                </a:solidFill>
                <a:latin typeface="+mn-lt"/>
              </a:defRPr>
            </a:pPr>
            <a:r>
              <a:rPr sz="2800" b="1" i="0">
                <a:solidFill>
                  <a:schemeClr val="lt1"/>
                </a:solidFill>
                <a:latin typeface="+mn-lt"/>
              </a:rPr>
              <a:t>Portfolio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Graph!$A$2:$A$27</c:f>
              <c:numCache>
                <c:formatCode>0</c:formatCode>
                <c:ptCount val="26"/>
                <c:pt idx="0">
                  <c:v>18067.900000000001</c:v>
                </c:pt>
                <c:pt idx="1">
                  <c:v>18067.900000000001</c:v>
                </c:pt>
                <c:pt idx="2">
                  <c:v>18067.900000000001</c:v>
                </c:pt>
                <c:pt idx="3">
                  <c:v>18067.900000000001</c:v>
                </c:pt>
                <c:pt idx="4">
                  <c:v>18067.900000000001</c:v>
                </c:pt>
                <c:pt idx="5">
                  <c:v>18067.900000000001</c:v>
                </c:pt>
                <c:pt idx="6">
                  <c:v>18067.900000000001</c:v>
                </c:pt>
                <c:pt idx="7">
                  <c:v>18067.900000000001</c:v>
                </c:pt>
                <c:pt idx="8">
                  <c:v>18067.900000000001</c:v>
                </c:pt>
                <c:pt idx="9">
                  <c:v>18067.900000000001</c:v>
                </c:pt>
                <c:pt idx="10">
                  <c:v>18067.900000000001</c:v>
                </c:pt>
                <c:pt idx="11">
                  <c:v>18067.900000000001</c:v>
                </c:pt>
                <c:pt idx="12">
                  <c:v>18067.900000000001</c:v>
                </c:pt>
                <c:pt idx="13">
                  <c:v>18067.900000000001</c:v>
                </c:pt>
                <c:pt idx="14">
                  <c:v>18067.900000000001</c:v>
                </c:pt>
                <c:pt idx="15">
                  <c:v>18067.900000000001</c:v>
                </c:pt>
                <c:pt idx="16">
                  <c:v>18067.900000000001</c:v>
                </c:pt>
                <c:pt idx="17">
                  <c:v>18067.900000000001</c:v>
                </c:pt>
                <c:pt idx="18">
                  <c:v>18067.900000000001</c:v>
                </c:pt>
                <c:pt idx="19">
                  <c:v>18067.900000000001</c:v>
                </c:pt>
                <c:pt idx="20">
                  <c:v>18067.900000000001</c:v>
                </c:pt>
                <c:pt idx="21">
                  <c:v>18067.900000000001</c:v>
                </c:pt>
                <c:pt idx="22">
                  <c:v>18067.900000000001</c:v>
                </c:pt>
                <c:pt idx="23">
                  <c:v>18067.900000000001</c:v>
                </c:pt>
                <c:pt idx="24">
                  <c:v>18067.900000000001</c:v>
                </c:pt>
                <c:pt idx="25">
                  <c:v>18067.900000000001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3-43C2-832D-1193F9D3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244211"/>
        <c:axId val="67659542"/>
      </c:lineChart>
      <c:catAx>
        <c:axId val="1921244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67659542"/>
        <c:crosses val="autoZero"/>
        <c:auto val="1"/>
        <c:lblAlgn val="ctr"/>
        <c:lblOffset val="100"/>
        <c:noMultiLvlLbl val="1"/>
      </c:catAx>
      <c:valAx>
        <c:axId val="67659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1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921244211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800" b="1" i="0">
                <a:solidFill>
                  <a:schemeClr val="lt1"/>
                </a:solidFill>
                <a:latin typeface="+mn-lt"/>
              </a:defRPr>
            </a:pPr>
            <a:r>
              <a:rPr sz="2800" b="1" i="0">
                <a:solidFill>
                  <a:schemeClr val="lt1"/>
                </a:solidFill>
                <a:latin typeface="+mn-lt"/>
              </a:rPr>
              <a:t>Expected Return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4948911563612801E-2"/>
          <c:y val="0.20736274783983999"/>
          <c:w val="0.960873377617526"/>
          <c:h val="0.75053702650053999"/>
        </c:manualLayout>
      </c:layout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Graph!$A$30:$A$55</c:f>
              <c:numCache>
                <c:formatCode>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B2-456C-9588-1349D0631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964028"/>
        <c:axId val="1434264364"/>
      </c:lineChart>
      <c:catAx>
        <c:axId val="646964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434264364"/>
        <c:crosses val="autoZero"/>
        <c:auto val="1"/>
        <c:lblAlgn val="ctr"/>
        <c:lblOffset val="100"/>
        <c:noMultiLvlLbl val="1"/>
      </c:catAx>
      <c:valAx>
        <c:axId val="1434264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1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646964028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800" b="1" i="0">
                <a:solidFill>
                  <a:schemeClr val="lt1"/>
                </a:solidFill>
                <a:latin typeface="+mn-lt"/>
              </a:defRPr>
            </a:pPr>
            <a:r>
              <a:rPr sz="2800" b="1" i="0">
                <a:solidFill>
                  <a:schemeClr val="lt1"/>
                </a:solidFill>
                <a:latin typeface="+mn-lt"/>
              </a:rPr>
              <a:t>Net Profit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7787066753271002E-2"/>
          <c:y val="0.17171296296296301"/>
          <c:w val="0.96015104241004801"/>
          <c:h val="0.77736111111111095"/>
        </c:manualLayout>
      </c:layout>
      <c:lineChart>
        <c:grouping val="standard"/>
        <c:varyColors val="0"/>
        <c:ser>
          <c:idx val="0"/>
          <c:order val="0"/>
          <c:spPr>
            <a:ln w="19050"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Graph!$A$58:$A$83</c:f>
              <c:numCache>
                <c:formatCode>###,###,###</c:formatCode>
                <c:ptCount val="26"/>
                <c:pt idx="0">
                  <c:v>3067.9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1-4A99-A2E1-DC4DD5856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08975"/>
        <c:axId val="1218628834"/>
      </c:lineChart>
      <c:catAx>
        <c:axId val="166980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218628834"/>
        <c:crosses val="autoZero"/>
        <c:auto val="1"/>
        <c:lblAlgn val="ctr"/>
        <c:lblOffset val="100"/>
        <c:noMultiLvlLbl val="1"/>
      </c:catAx>
      <c:valAx>
        <c:axId val="1218628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##,###,###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1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669808975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800" b="1" i="0">
                <a:solidFill>
                  <a:schemeClr val="lt1"/>
                </a:solidFill>
                <a:latin typeface="+mn-lt"/>
              </a:defRPr>
            </a:pPr>
            <a:r>
              <a:rPr sz="2800" b="1" i="0">
                <a:solidFill>
                  <a:schemeClr val="lt1"/>
                </a:solidFill>
                <a:latin typeface="+mn-lt"/>
              </a:rPr>
              <a:t>Winning Chance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7477284170905E-2"/>
          <c:y val="0.17171296296296301"/>
          <c:w val="0.969723853070945"/>
          <c:h val="0.720887649460484"/>
        </c:manualLayout>
      </c:layout>
      <c:lineChart>
        <c:grouping val="standard"/>
        <c:varyColors val="1"/>
        <c:ser>
          <c:idx val="0"/>
          <c:order val="0"/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Graph!$B$2:$B$27</c:f>
              <c:numCache>
                <c:formatCode>###.##\ "%"</c:formatCode>
                <c:ptCount val="26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9-4571-8653-DF9E6E8D077F}"/>
            </c:ext>
          </c:extLst>
        </c:ser>
        <c:ser>
          <c:idx val="1"/>
          <c:order val="1"/>
          <c:tx>
            <c:v>50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Graph!$B$58:$B$83</c:f>
              <c:numCache>
                <c:formatCode>General</c:formatCode>
                <c:ptCount val="2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9-4571-8653-DF9E6E8D0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311137"/>
        <c:axId val="1904717790"/>
      </c:lineChart>
      <c:catAx>
        <c:axId val="1737311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904717790"/>
        <c:crosses val="autoZero"/>
        <c:auto val="1"/>
        <c:lblAlgn val="ctr"/>
        <c:lblOffset val="100"/>
        <c:noMultiLvlLbl val="1"/>
      </c:catAx>
      <c:valAx>
        <c:axId val="1904717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##.##\ &quot;%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1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737311137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50</xdr:row>
      <xdr:rowOff>47625</xdr:rowOff>
    </xdr:from>
    <xdr:ext cx="5695950" cy="2876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เป้าหมาย กำไร 30จุด ต่อเดือน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1C → 20C : 30*200*20= 120k / month → 120*12 = 1.44m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End of this Chanllenge 2Years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Mid of target →forn 1C to  10C in 6-12month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Big target      →  forn 10C to  30C in 6-12month → Salary per month around 180-210k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50</xdr:row>
      <xdr:rowOff>152400</xdr:rowOff>
    </xdr:from>
    <xdr:ext cx="5686425" cy="2200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82</xdr:row>
      <xdr:rowOff>152400</xdr:rowOff>
    </xdr:from>
    <xdr:ext cx="5686425" cy="2200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114</xdr:row>
      <xdr:rowOff>152400</xdr:rowOff>
    </xdr:from>
    <xdr:ext cx="5686425" cy="22002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146</xdr:row>
      <xdr:rowOff>152400</xdr:rowOff>
    </xdr:from>
    <xdr:ext cx="5686425" cy="2200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178</xdr:row>
      <xdr:rowOff>152400</xdr:rowOff>
    </xdr:from>
    <xdr:ext cx="5686425" cy="2200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210</xdr:row>
      <xdr:rowOff>152400</xdr:rowOff>
    </xdr:from>
    <xdr:ext cx="5686425" cy="22002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242</xdr:row>
      <xdr:rowOff>152400</xdr:rowOff>
    </xdr:from>
    <xdr:ext cx="5686425" cy="2200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274</xdr:row>
      <xdr:rowOff>152400</xdr:rowOff>
    </xdr:from>
    <xdr:ext cx="5686425" cy="22002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306</xdr:row>
      <xdr:rowOff>152400</xdr:rowOff>
    </xdr:from>
    <xdr:ext cx="5686425" cy="22002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338</xdr:row>
      <xdr:rowOff>152400</xdr:rowOff>
    </xdr:from>
    <xdr:ext cx="5686425" cy="2200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370</xdr:row>
      <xdr:rowOff>152400</xdr:rowOff>
    </xdr:from>
    <xdr:ext cx="5686425" cy="22002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402</xdr:row>
      <xdr:rowOff>152400</xdr:rowOff>
    </xdr:from>
    <xdr:ext cx="5686425" cy="22002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434</xdr:row>
      <xdr:rowOff>152400</xdr:rowOff>
    </xdr:from>
    <xdr:ext cx="5686425" cy="22002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466</xdr:row>
      <xdr:rowOff>152400</xdr:rowOff>
    </xdr:from>
    <xdr:ext cx="5686425" cy="22002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498</xdr:row>
      <xdr:rowOff>152400</xdr:rowOff>
    </xdr:from>
    <xdr:ext cx="5686425" cy="22002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530</xdr:row>
      <xdr:rowOff>152400</xdr:rowOff>
    </xdr:from>
    <xdr:ext cx="5686425" cy="22002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562</xdr:row>
      <xdr:rowOff>152400</xdr:rowOff>
    </xdr:from>
    <xdr:ext cx="5686425" cy="22002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594</xdr:row>
      <xdr:rowOff>152400</xdr:rowOff>
    </xdr:from>
    <xdr:ext cx="5686425" cy="22002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626</xdr:row>
      <xdr:rowOff>152400</xdr:rowOff>
    </xdr:from>
    <xdr:ext cx="5686425" cy="22002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658</xdr:row>
      <xdr:rowOff>152400</xdr:rowOff>
    </xdr:from>
    <xdr:ext cx="5686425" cy="22002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690</xdr:row>
      <xdr:rowOff>152400</xdr:rowOff>
    </xdr:from>
    <xdr:ext cx="5686425" cy="22002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722</xdr:row>
      <xdr:rowOff>152400</xdr:rowOff>
    </xdr:from>
    <xdr:ext cx="5686425" cy="22002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754</xdr:row>
      <xdr:rowOff>152400</xdr:rowOff>
    </xdr:from>
    <xdr:ext cx="5686425" cy="22002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786</xdr:row>
      <xdr:rowOff>152400</xdr:rowOff>
    </xdr:from>
    <xdr:ext cx="5686425" cy="22002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19050</xdr:colOff>
      <xdr:row>818</xdr:row>
      <xdr:rowOff>152400</xdr:rowOff>
    </xdr:from>
    <xdr:ext cx="5686425" cy="22002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507550" y="2684625"/>
          <a:ext cx="5676900" cy="2190750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บลาๆๆๆๆๆ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0</xdr:row>
      <xdr:rowOff>28575</xdr:rowOff>
    </xdr:from>
    <xdr:ext cx="18335625" cy="4867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28575</xdr:colOff>
      <xdr:row>27</xdr:row>
      <xdr:rowOff>19050</xdr:rowOff>
    </xdr:from>
    <xdr:ext cx="18335625" cy="39147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28575</xdr:colOff>
      <xdr:row>48</xdr:row>
      <xdr:rowOff>152400</xdr:rowOff>
    </xdr:from>
    <xdr:ext cx="18335625" cy="36290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57150</xdr:colOff>
      <xdr:row>69</xdr:row>
      <xdr:rowOff>9525</xdr:rowOff>
    </xdr:from>
    <xdr:ext cx="18335625" cy="34099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M22" sqref="M22"/>
    </sheetView>
  </sheetViews>
  <sheetFormatPr defaultColWidth="14.44140625" defaultRowHeight="15" customHeight="1"/>
  <cols>
    <col min="1" max="1" width="14.88671875" customWidth="1"/>
    <col min="2" max="4" width="8.88671875" customWidth="1"/>
    <col min="5" max="5" width="9.5546875" customWidth="1"/>
    <col min="6" max="6" width="2.44140625" customWidth="1"/>
    <col min="7" max="7" width="8.88671875" customWidth="1"/>
    <col min="8" max="8" width="2.44140625" customWidth="1"/>
    <col min="9" max="9" width="12.44140625" customWidth="1"/>
    <col min="10" max="10" width="12.109375" customWidth="1"/>
    <col min="11" max="12" width="11.88671875" customWidth="1"/>
    <col min="13" max="13" width="92.44140625" customWidth="1"/>
    <col min="14" max="14" width="19.6640625" customWidth="1"/>
    <col min="15" max="15" width="26.33203125" customWidth="1"/>
    <col min="16" max="16" width="18.44140625" customWidth="1"/>
    <col min="17" max="17" width="19.5546875" customWidth="1"/>
    <col min="18" max="18" width="21.88671875" customWidth="1"/>
    <col min="19" max="27" width="8.88671875" customWidth="1"/>
  </cols>
  <sheetData>
    <row r="1" spans="1:18" ht="26.25" customHeight="1">
      <c r="A1" s="145"/>
      <c r="B1" s="146"/>
      <c r="C1" s="146"/>
      <c r="D1" s="146"/>
      <c r="E1" s="146"/>
      <c r="F1" s="1"/>
      <c r="G1" s="147" t="s">
        <v>0</v>
      </c>
      <c r="H1" s="148"/>
      <c r="I1" s="148"/>
      <c r="J1" s="149"/>
      <c r="K1" s="150">
        <v>15000</v>
      </c>
      <c r="L1" s="149"/>
      <c r="M1" s="2" t="s">
        <v>1</v>
      </c>
      <c r="N1" s="1"/>
      <c r="O1" s="1"/>
      <c r="P1" s="1"/>
      <c r="Q1" s="1"/>
      <c r="R1" s="1"/>
    </row>
    <row r="2" spans="1:18" ht="14.25" customHeight="1">
      <c r="A2" s="151" t="s">
        <v>2</v>
      </c>
      <c r="B2" s="152"/>
      <c r="C2" s="152"/>
      <c r="D2" s="152"/>
      <c r="E2" s="153"/>
      <c r="F2" s="151" t="s">
        <v>3</v>
      </c>
      <c r="G2" s="152"/>
      <c r="H2" s="153"/>
      <c r="I2" s="151" t="s">
        <v>4</v>
      </c>
      <c r="J2" s="153"/>
      <c r="K2" s="154" t="s">
        <v>5</v>
      </c>
      <c r="L2" s="153"/>
      <c r="M2" s="3" t="s">
        <v>6</v>
      </c>
      <c r="N2" s="4"/>
      <c r="O2" s="155" t="s">
        <v>7</v>
      </c>
      <c r="P2" s="152"/>
      <c r="Q2" s="152"/>
      <c r="R2" s="153"/>
    </row>
    <row r="3" spans="1:18" ht="14.25" customHeight="1">
      <c r="A3" s="5" t="s">
        <v>8</v>
      </c>
      <c r="B3" s="5" t="s">
        <v>9</v>
      </c>
      <c r="C3" s="5" t="s">
        <v>10</v>
      </c>
      <c r="D3" s="6" t="s">
        <v>11</v>
      </c>
      <c r="E3" s="7" t="s">
        <v>12</v>
      </c>
      <c r="F3" s="156" t="s">
        <v>11</v>
      </c>
      <c r="G3" s="146"/>
      <c r="H3" s="157"/>
      <c r="I3" s="9" t="s">
        <v>13</v>
      </c>
      <c r="J3" s="10" t="s">
        <v>14</v>
      </c>
      <c r="K3" s="11" t="s">
        <v>13</v>
      </c>
      <c r="L3" s="10" t="s">
        <v>14</v>
      </c>
      <c r="M3" s="12"/>
      <c r="O3" s="172" t="s">
        <v>15</v>
      </c>
      <c r="P3" s="173"/>
      <c r="Q3" s="173"/>
      <c r="R3" s="174"/>
    </row>
    <row r="4" spans="1:18" ht="14.25" customHeight="1">
      <c r="A4" s="13" t="s">
        <v>16</v>
      </c>
      <c r="B4" s="13">
        <v>1</v>
      </c>
      <c r="C4" s="14" t="s">
        <v>17</v>
      </c>
      <c r="D4" s="15">
        <v>929</v>
      </c>
      <c r="E4" s="16">
        <v>1</v>
      </c>
      <c r="F4" s="139">
        <v>944.5</v>
      </c>
      <c r="G4" s="140"/>
      <c r="H4" s="141"/>
      <c r="I4" s="17">
        <f t="shared" ref="I4:I28" si="0">IF(C4="L",IF(F4-D4&gt;0,F4-D4," "),IF(D4-F4&gt;0,D4-F4," "))</f>
        <v>15.5</v>
      </c>
      <c r="J4" s="18">
        <f t="shared" ref="J4:J28" si="1">IF(C4="L",IF(F4-D4&gt;0,(F4-D4)*200*E4," "),IF(D4-F4&gt;0,(D4-F4)*200*E4," "))</f>
        <v>3100</v>
      </c>
      <c r="K4" s="19" t="str">
        <f t="shared" ref="K4:K28" si="2">IF(C4="L",IF(F4-D4&lt;0,F4-D4," "),IF(D4-F4&lt;0,D4-F4," "))</f>
        <v xml:space="preserve"> </v>
      </c>
      <c r="L4" s="18" t="str">
        <f t="shared" ref="L4:L28" si="3">IF(C4="L",IF(F4-D4&lt;0,(F4-D4)*200*E4," "),IF(D4-F4&lt;0,(D4-F4)*200*E4," "))</f>
        <v xml:space="preserve"> </v>
      </c>
      <c r="M4" s="20"/>
      <c r="N4" s="21" t="s">
        <v>18</v>
      </c>
      <c r="O4" s="22" t="s">
        <v>19</v>
      </c>
      <c r="P4" s="23">
        <f>B29+C29</f>
        <v>1</v>
      </c>
      <c r="Q4" s="115"/>
      <c r="R4" s="175"/>
    </row>
    <row r="5" spans="1:18" ht="14.25" customHeight="1">
      <c r="A5" s="24"/>
      <c r="B5" s="24">
        <v>2</v>
      </c>
      <c r="C5" s="25"/>
      <c r="D5" s="26"/>
      <c r="E5" s="27"/>
      <c r="F5" s="136"/>
      <c r="G5" s="137"/>
      <c r="H5" s="138"/>
      <c r="I5" s="8" t="str">
        <f t="shared" si="0"/>
        <v xml:space="preserve"> </v>
      </c>
      <c r="J5" s="28" t="str">
        <f t="shared" si="1"/>
        <v xml:space="preserve"> </v>
      </c>
      <c r="K5" s="29" t="str">
        <f t="shared" si="2"/>
        <v xml:space="preserve"> </v>
      </c>
      <c r="L5" s="28" t="str">
        <f t="shared" si="3"/>
        <v xml:space="preserve"> </v>
      </c>
      <c r="M5" s="30"/>
      <c r="N5" s="12"/>
      <c r="O5" s="31" t="s">
        <v>20</v>
      </c>
      <c r="P5" s="32">
        <f>B29/P4*100</f>
        <v>100</v>
      </c>
      <c r="Q5" s="33" t="s">
        <v>21</v>
      </c>
      <c r="R5" s="34">
        <f>C29/P4*100</f>
        <v>0</v>
      </c>
    </row>
    <row r="6" spans="1:18" ht="14.25" customHeight="1">
      <c r="A6" s="13"/>
      <c r="B6" s="13">
        <v>3</v>
      </c>
      <c r="C6" s="14"/>
      <c r="D6" s="15"/>
      <c r="E6" s="16"/>
      <c r="F6" s="139"/>
      <c r="G6" s="140"/>
      <c r="H6" s="141"/>
      <c r="I6" s="17" t="str">
        <f t="shared" si="0"/>
        <v xml:space="preserve"> </v>
      </c>
      <c r="J6" s="18" t="str">
        <f t="shared" si="1"/>
        <v xml:space="preserve"> </v>
      </c>
      <c r="K6" s="19" t="str">
        <f t="shared" si="2"/>
        <v xml:space="preserve"> </v>
      </c>
      <c r="L6" s="18" t="str">
        <f t="shared" si="3"/>
        <v xml:space="preserve"> </v>
      </c>
      <c r="M6" s="20"/>
      <c r="N6" s="21"/>
      <c r="O6" s="35" t="s">
        <v>22</v>
      </c>
      <c r="P6" s="36">
        <f>SUM(I5:I28)/B29</f>
        <v>0</v>
      </c>
      <c r="Q6" s="37" t="s">
        <v>23</v>
      </c>
      <c r="R6" s="38" t="e">
        <f>SUM(K5:K28)/C29</f>
        <v>#DIV/0!</v>
      </c>
    </row>
    <row r="7" spans="1:18" ht="14.25" customHeight="1">
      <c r="A7" s="39"/>
      <c r="B7" s="24">
        <v>4</v>
      </c>
      <c r="C7" s="25"/>
      <c r="D7" s="26"/>
      <c r="E7" s="27"/>
      <c r="F7" s="136"/>
      <c r="G7" s="137"/>
      <c r="H7" s="138"/>
      <c r="I7" s="8" t="str">
        <f t="shared" si="0"/>
        <v xml:space="preserve"> </v>
      </c>
      <c r="J7" s="28" t="str">
        <f t="shared" si="1"/>
        <v xml:space="preserve"> </v>
      </c>
      <c r="K7" s="29" t="str">
        <f t="shared" si="2"/>
        <v xml:space="preserve"> </v>
      </c>
      <c r="L7" s="28" t="str">
        <f t="shared" si="3"/>
        <v xml:space="preserve"> </v>
      </c>
      <c r="M7" s="30"/>
      <c r="N7" s="12"/>
      <c r="O7" s="40" t="s">
        <v>24</v>
      </c>
      <c r="P7" s="41">
        <f>SUM(J4:J28)</f>
        <v>3100</v>
      </c>
      <c r="Q7" s="42" t="s">
        <v>25</v>
      </c>
      <c r="R7" s="43">
        <f>SUM(L4:L28)</f>
        <v>0</v>
      </c>
    </row>
    <row r="8" spans="1:18" ht="14.25" customHeight="1">
      <c r="A8" s="44"/>
      <c r="B8" s="13">
        <v>5</v>
      </c>
      <c r="C8" s="14"/>
      <c r="D8" s="15"/>
      <c r="E8" s="16"/>
      <c r="F8" s="139"/>
      <c r="G8" s="140"/>
      <c r="H8" s="141"/>
      <c r="I8" s="17" t="str">
        <f t="shared" si="0"/>
        <v xml:space="preserve"> </v>
      </c>
      <c r="J8" s="18" t="str">
        <f t="shared" si="1"/>
        <v xml:space="preserve"> </v>
      </c>
      <c r="K8" s="19" t="str">
        <f t="shared" si="2"/>
        <v xml:space="preserve"> </v>
      </c>
      <c r="L8" s="18" t="str">
        <f t="shared" si="3"/>
        <v xml:space="preserve"> </v>
      </c>
      <c r="M8" s="20"/>
      <c r="N8" s="21"/>
      <c r="O8" s="176" t="s">
        <v>26</v>
      </c>
      <c r="P8" s="177"/>
      <c r="Q8" s="177"/>
      <c r="R8" s="178"/>
    </row>
    <row r="9" spans="1:18" ht="14.25" customHeight="1">
      <c r="A9" s="39"/>
      <c r="B9" s="24">
        <v>6</v>
      </c>
      <c r="C9" s="25"/>
      <c r="D9" s="26"/>
      <c r="E9" s="27"/>
      <c r="F9" s="136"/>
      <c r="G9" s="137"/>
      <c r="H9" s="138"/>
      <c r="I9" s="8" t="str">
        <f t="shared" si="0"/>
        <v xml:space="preserve"> </v>
      </c>
      <c r="J9" s="28" t="str">
        <f t="shared" si="1"/>
        <v xml:space="preserve"> </v>
      </c>
      <c r="K9" s="29" t="str">
        <f t="shared" si="2"/>
        <v xml:space="preserve"> </v>
      </c>
      <c r="L9" s="28" t="str">
        <f t="shared" si="3"/>
        <v xml:space="preserve"> </v>
      </c>
      <c r="M9" s="30"/>
      <c r="N9" s="12"/>
      <c r="O9" s="179" t="s">
        <v>27</v>
      </c>
      <c r="P9" s="181">
        <f>P7+R7-K30</f>
        <v>3067.9</v>
      </c>
      <c r="Q9" s="179" t="s">
        <v>28</v>
      </c>
      <c r="R9" s="183">
        <f>K30/P9</f>
        <v>1.0463183284983213E-2</v>
      </c>
    </row>
    <row r="10" spans="1:18" ht="14.25" customHeight="1">
      <c r="A10" s="44"/>
      <c r="B10" s="13">
        <v>7</v>
      </c>
      <c r="C10" s="14"/>
      <c r="D10" s="15"/>
      <c r="E10" s="16"/>
      <c r="F10" s="139"/>
      <c r="G10" s="140"/>
      <c r="H10" s="141"/>
      <c r="I10" s="17" t="str">
        <f t="shared" si="0"/>
        <v xml:space="preserve"> </v>
      </c>
      <c r="J10" s="18" t="str">
        <f t="shared" si="1"/>
        <v xml:space="preserve"> </v>
      </c>
      <c r="K10" s="19" t="str">
        <f t="shared" si="2"/>
        <v xml:space="preserve"> </v>
      </c>
      <c r="L10" s="18" t="str">
        <f t="shared" si="3"/>
        <v xml:space="preserve"> </v>
      </c>
      <c r="M10" s="20"/>
      <c r="N10" s="21"/>
      <c r="O10" s="180"/>
      <c r="P10" s="182"/>
      <c r="Q10" s="180"/>
      <c r="R10" s="182"/>
    </row>
    <row r="11" spans="1:18" ht="18.75" customHeight="1">
      <c r="A11" s="39"/>
      <c r="B11" s="24">
        <v>8</v>
      </c>
      <c r="C11" s="25"/>
      <c r="D11" s="26"/>
      <c r="E11" s="26"/>
      <c r="F11" s="136"/>
      <c r="G11" s="137"/>
      <c r="H11" s="138"/>
      <c r="I11" s="8" t="str">
        <f t="shared" si="0"/>
        <v xml:space="preserve"> </v>
      </c>
      <c r="J11" s="28" t="str">
        <f t="shared" si="1"/>
        <v xml:space="preserve"> </v>
      </c>
      <c r="K11" s="29" t="str">
        <f t="shared" si="2"/>
        <v xml:space="preserve"> </v>
      </c>
      <c r="L11" s="28" t="str">
        <f t="shared" si="3"/>
        <v xml:space="preserve"> </v>
      </c>
      <c r="M11" s="30"/>
      <c r="N11" s="12"/>
      <c r="O11" s="158" t="s">
        <v>29</v>
      </c>
      <c r="P11" s="159"/>
      <c r="Q11" s="160"/>
      <c r="R11" s="164">
        <f>IF(R7&lt;0,((P5*P6/100)+(R5*R6/100)),P6)</f>
        <v>0</v>
      </c>
    </row>
    <row r="12" spans="1:18" ht="18.75" customHeight="1">
      <c r="A12" s="44"/>
      <c r="B12" s="13">
        <v>9</v>
      </c>
      <c r="C12" s="14"/>
      <c r="D12" s="15"/>
      <c r="E12" s="15"/>
      <c r="F12" s="139"/>
      <c r="G12" s="140"/>
      <c r="H12" s="141"/>
      <c r="I12" s="17" t="str">
        <f t="shared" si="0"/>
        <v xml:space="preserve"> </v>
      </c>
      <c r="J12" s="18" t="str">
        <f t="shared" si="1"/>
        <v xml:space="preserve"> </v>
      </c>
      <c r="K12" s="19" t="str">
        <f t="shared" si="2"/>
        <v xml:space="preserve"> </v>
      </c>
      <c r="L12" s="18" t="str">
        <f t="shared" si="3"/>
        <v xml:space="preserve"> </v>
      </c>
      <c r="M12" s="20"/>
      <c r="N12" s="21"/>
      <c r="O12" s="161"/>
      <c r="P12" s="162"/>
      <c r="Q12" s="163"/>
      <c r="R12" s="165"/>
    </row>
    <row r="13" spans="1:18" ht="19.5" customHeight="1">
      <c r="A13" s="45"/>
      <c r="B13" s="24">
        <v>10</v>
      </c>
      <c r="C13" s="25"/>
      <c r="D13" s="26"/>
      <c r="E13" s="26"/>
      <c r="F13" s="136"/>
      <c r="G13" s="137"/>
      <c r="H13" s="138"/>
      <c r="I13" s="8" t="str">
        <f t="shared" si="0"/>
        <v xml:space="preserve"> </v>
      </c>
      <c r="J13" s="28" t="str">
        <f t="shared" si="1"/>
        <v xml:space="preserve"> </v>
      </c>
      <c r="K13" s="29" t="str">
        <f t="shared" si="2"/>
        <v xml:space="preserve"> </v>
      </c>
      <c r="L13" s="28" t="str">
        <f t="shared" si="3"/>
        <v xml:space="preserve"> </v>
      </c>
      <c r="M13" s="30"/>
      <c r="N13" s="12"/>
      <c r="O13" s="46"/>
      <c r="P13" s="46"/>
      <c r="Q13" s="46"/>
      <c r="R13" s="46"/>
    </row>
    <row r="14" spans="1:18" ht="14.25" customHeight="1">
      <c r="A14" s="45"/>
      <c r="B14" s="13">
        <v>11</v>
      </c>
      <c r="C14" s="14"/>
      <c r="D14" s="15"/>
      <c r="E14" s="15"/>
      <c r="F14" s="139"/>
      <c r="G14" s="140"/>
      <c r="H14" s="141"/>
      <c r="I14" s="17" t="str">
        <f t="shared" si="0"/>
        <v xml:space="preserve"> </v>
      </c>
      <c r="J14" s="18" t="str">
        <f t="shared" si="1"/>
        <v xml:space="preserve"> </v>
      </c>
      <c r="K14" s="19" t="str">
        <f t="shared" si="2"/>
        <v xml:space="preserve"> </v>
      </c>
      <c r="L14" s="18" t="str">
        <f t="shared" si="3"/>
        <v xml:space="preserve"> </v>
      </c>
      <c r="M14" s="21"/>
      <c r="N14" s="21"/>
      <c r="O14" s="166" t="s">
        <v>30</v>
      </c>
      <c r="P14" s="152"/>
      <c r="Q14" s="153"/>
      <c r="R14" s="47"/>
    </row>
    <row r="15" spans="1:18" ht="14.25" customHeight="1">
      <c r="A15" s="39"/>
      <c r="B15" s="24">
        <v>12</v>
      </c>
      <c r="C15" s="25"/>
      <c r="D15" s="26"/>
      <c r="E15" s="26"/>
      <c r="F15" s="136"/>
      <c r="G15" s="137"/>
      <c r="H15" s="138"/>
      <c r="I15" s="8" t="str">
        <f t="shared" si="0"/>
        <v xml:space="preserve"> </v>
      </c>
      <c r="J15" s="28" t="str">
        <f t="shared" si="1"/>
        <v xml:space="preserve"> </v>
      </c>
      <c r="K15" s="29" t="str">
        <f t="shared" si="2"/>
        <v xml:space="preserve"> </v>
      </c>
      <c r="L15" s="28" t="str">
        <f t="shared" si="3"/>
        <v xml:space="preserve"> </v>
      </c>
      <c r="M15" s="12"/>
      <c r="N15" s="12"/>
      <c r="O15" s="48" t="s">
        <v>31</v>
      </c>
      <c r="P15" s="167">
        <f>MAX(I5:I28)</f>
        <v>0</v>
      </c>
      <c r="Q15" s="138"/>
      <c r="R15" s="46">
        <f>P15-P17</f>
        <v>0</v>
      </c>
    </row>
    <row r="16" spans="1:18" ht="14.25" customHeight="1">
      <c r="A16" s="44"/>
      <c r="B16" s="13">
        <v>13</v>
      </c>
      <c r="C16" s="14"/>
      <c r="D16" s="15"/>
      <c r="E16" s="15"/>
      <c r="F16" s="139"/>
      <c r="G16" s="140"/>
      <c r="H16" s="141"/>
      <c r="I16" s="17" t="str">
        <f t="shared" si="0"/>
        <v xml:space="preserve"> </v>
      </c>
      <c r="J16" s="18" t="str">
        <f t="shared" si="1"/>
        <v xml:space="preserve"> </v>
      </c>
      <c r="K16" s="19" t="str">
        <f t="shared" si="2"/>
        <v xml:space="preserve"> </v>
      </c>
      <c r="L16" s="18" t="str">
        <f t="shared" si="3"/>
        <v xml:space="preserve"> </v>
      </c>
      <c r="M16" s="21"/>
      <c r="N16" s="21"/>
      <c r="O16" s="49" t="s">
        <v>32</v>
      </c>
      <c r="P16" s="168">
        <f>MAX(J4:J28)</f>
        <v>3100</v>
      </c>
      <c r="Q16" s="141"/>
      <c r="R16" s="47"/>
    </row>
    <row r="17" spans="1:18" ht="14.25" customHeight="1">
      <c r="A17" s="39"/>
      <c r="B17" s="24">
        <v>14</v>
      </c>
      <c r="C17" s="25"/>
      <c r="D17" s="26"/>
      <c r="E17" s="26"/>
      <c r="F17" s="136"/>
      <c r="G17" s="137"/>
      <c r="H17" s="138"/>
      <c r="I17" s="8" t="str">
        <f t="shared" si="0"/>
        <v xml:space="preserve"> </v>
      </c>
      <c r="J17" s="28" t="str">
        <f t="shared" si="1"/>
        <v xml:space="preserve"> </v>
      </c>
      <c r="K17" s="29" t="str">
        <f t="shared" si="2"/>
        <v xml:space="preserve"> </v>
      </c>
      <c r="L17" s="28" t="str">
        <f t="shared" si="3"/>
        <v xml:space="preserve"> </v>
      </c>
      <c r="M17" s="12"/>
      <c r="N17" s="12"/>
      <c r="O17" s="50" t="s">
        <v>33</v>
      </c>
      <c r="P17" s="169">
        <f>MIN(K5:K28)</f>
        <v>0</v>
      </c>
      <c r="Q17" s="138"/>
      <c r="R17" s="46"/>
    </row>
    <row r="18" spans="1:18" ht="14.25" customHeight="1">
      <c r="A18" s="44"/>
      <c r="B18" s="13">
        <v>15</v>
      </c>
      <c r="C18" s="14"/>
      <c r="D18" s="15"/>
      <c r="E18" s="15"/>
      <c r="F18" s="139"/>
      <c r="G18" s="140"/>
      <c r="H18" s="141"/>
      <c r="I18" s="17" t="str">
        <f t="shared" si="0"/>
        <v xml:space="preserve"> </v>
      </c>
      <c r="J18" s="18" t="str">
        <f t="shared" si="1"/>
        <v xml:space="preserve"> </v>
      </c>
      <c r="K18" s="19" t="str">
        <f t="shared" si="2"/>
        <v xml:space="preserve"> </v>
      </c>
      <c r="L18" s="18" t="str">
        <f t="shared" si="3"/>
        <v xml:space="preserve"> </v>
      </c>
      <c r="M18" s="21"/>
      <c r="N18" s="21"/>
      <c r="O18" s="51" t="s">
        <v>34</v>
      </c>
      <c r="P18" s="170">
        <f>MIN(L4:L28)</f>
        <v>0</v>
      </c>
      <c r="Q18" s="171"/>
      <c r="R18" s="47"/>
    </row>
    <row r="19" spans="1:18" ht="14.25" customHeight="1">
      <c r="A19" s="39"/>
      <c r="B19" s="24">
        <v>16</v>
      </c>
      <c r="C19" s="25"/>
      <c r="D19" s="26"/>
      <c r="E19" s="26"/>
      <c r="F19" s="136"/>
      <c r="G19" s="137"/>
      <c r="H19" s="138"/>
      <c r="I19" s="8" t="str">
        <f t="shared" si="0"/>
        <v xml:space="preserve"> </v>
      </c>
      <c r="J19" s="28" t="str">
        <f t="shared" si="1"/>
        <v xml:space="preserve"> </v>
      </c>
      <c r="K19" s="29" t="str">
        <f t="shared" si="2"/>
        <v xml:space="preserve"> </v>
      </c>
      <c r="L19" s="28" t="str">
        <f t="shared" si="3"/>
        <v xml:space="preserve"> </v>
      </c>
      <c r="M19" s="12"/>
      <c r="N19" s="12"/>
      <c r="O19" s="12"/>
      <c r="P19" s="46"/>
      <c r="Q19" s="46"/>
      <c r="R19" s="46"/>
    </row>
    <row r="20" spans="1:18" ht="14.25" customHeight="1">
      <c r="A20" s="44"/>
      <c r="B20" s="13">
        <v>17</v>
      </c>
      <c r="C20" s="14"/>
      <c r="D20" s="15"/>
      <c r="E20" s="15"/>
      <c r="F20" s="139"/>
      <c r="G20" s="140"/>
      <c r="H20" s="141"/>
      <c r="I20" s="17" t="str">
        <f t="shared" si="0"/>
        <v xml:space="preserve"> </v>
      </c>
      <c r="J20" s="18" t="str">
        <f t="shared" si="1"/>
        <v xml:space="preserve"> </v>
      </c>
      <c r="K20" s="19" t="str">
        <f t="shared" si="2"/>
        <v xml:space="preserve"> </v>
      </c>
      <c r="L20" s="18" t="str">
        <f t="shared" si="3"/>
        <v xml:space="preserve"> </v>
      </c>
      <c r="M20" s="21"/>
      <c r="N20" s="21"/>
      <c r="O20" s="21"/>
      <c r="P20" s="47"/>
      <c r="Q20" s="47"/>
      <c r="R20" s="47"/>
    </row>
    <row r="21" spans="1:18" ht="14.25" customHeight="1">
      <c r="A21" s="39"/>
      <c r="B21" s="24">
        <v>18</v>
      </c>
      <c r="C21" s="25"/>
      <c r="D21" s="26"/>
      <c r="E21" s="26"/>
      <c r="F21" s="136"/>
      <c r="G21" s="137"/>
      <c r="H21" s="138"/>
      <c r="I21" s="8" t="str">
        <f t="shared" si="0"/>
        <v xml:space="preserve"> </v>
      </c>
      <c r="J21" s="28" t="str">
        <f t="shared" si="1"/>
        <v xml:space="preserve"> </v>
      </c>
      <c r="K21" s="29" t="str">
        <f t="shared" si="2"/>
        <v xml:space="preserve"> </v>
      </c>
      <c r="L21" s="28" t="str">
        <f t="shared" si="3"/>
        <v xml:space="preserve"> </v>
      </c>
      <c r="M21" s="12"/>
      <c r="N21" s="12"/>
      <c r="O21" s="12"/>
      <c r="P21" s="46"/>
      <c r="Q21" s="46"/>
      <c r="R21" s="46"/>
    </row>
    <row r="22" spans="1:18" ht="14.25" customHeight="1">
      <c r="A22" s="44"/>
      <c r="B22" s="13">
        <v>19</v>
      </c>
      <c r="C22" s="14"/>
      <c r="D22" s="15"/>
      <c r="E22" s="15"/>
      <c r="F22" s="139"/>
      <c r="G22" s="140"/>
      <c r="H22" s="141"/>
      <c r="I22" s="17" t="str">
        <f t="shared" si="0"/>
        <v xml:space="preserve"> </v>
      </c>
      <c r="J22" s="18" t="str">
        <f t="shared" si="1"/>
        <v xml:space="preserve"> </v>
      </c>
      <c r="K22" s="19" t="str">
        <f t="shared" si="2"/>
        <v xml:space="preserve"> </v>
      </c>
      <c r="L22" s="18" t="str">
        <f t="shared" si="3"/>
        <v xml:space="preserve"> </v>
      </c>
      <c r="M22" s="21"/>
      <c r="N22" s="21"/>
      <c r="O22" s="21"/>
      <c r="P22" s="47"/>
      <c r="Q22" s="47"/>
      <c r="R22" s="47"/>
    </row>
    <row r="23" spans="1:18" ht="14.25" customHeight="1">
      <c r="A23" s="39"/>
      <c r="B23" s="24">
        <v>20</v>
      </c>
      <c r="C23" s="25"/>
      <c r="D23" s="26"/>
      <c r="E23" s="26"/>
      <c r="F23" s="136"/>
      <c r="G23" s="137"/>
      <c r="H23" s="138"/>
      <c r="I23" s="8" t="str">
        <f t="shared" si="0"/>
        <v xml:space="preserve"> </v>
      </c>
      <c r="J23" s="28" t="str">
        <f t="shared" si="1"/>
        <v xml:space="preserve"> </v>
      </c>
      <c r="K23" s="29" t="str">
        <f t="shared" si="2"/>
        <v xml:space="preserve"> </v>
      </c>
      <c r="L23" s="28" t="str">
        <f t="shared" si="3"/>
        <v xml:space="preserve"> </v>
      </c>
      <c r="M23" s="12"/>
      <c r="N23" s="12"/>
      <c r="O23" s="12"/>
      <c r="P23" s="46"/>
      <c r="Q23" s="46"/>
      <c r="R23" s="46"/>
    </row>
    <row r="24" spans="1:18" ht="14.25" customHeight="1">
      <c r="A24" s="44"/>
      <c r="B24" s="13">
        <v>21</v>
      </c>
      <c r="C24" s="14"/>
      <c r="D24" s="15"/>
      <c r="E24" s="15"/>
      <c r="F24" s="139"/>
      <c r="G24" s="140"/>
      <c r="H24" s="141"/>
      <c r="I24" s="17" t="str">
        <f t="shared" si="0"/>
        <v xml:space="preserve"> </v>
      </c>
      <c r="J24" s="18" t="str">
        <f t="shared" si="1"/>
        <v xml:space="preserve"> </v>
      </c>
      <c r="K24" s="19" t="str">
        <f t="shared" si="2"/>
        <v xml:space="preserve"> </v>
      </c>
      <c r="L24" s="18" t="str">
        <f t="shared" si="3"/>
        <v xml:space="preserve"> </v>
      </c>
      <c r="M24" s="21"/>
      <c r="N24" s="21"/>
      <c r="O24" s="21"/>
      <c r="P24" s="47"/>
      <c r="Q24" s="47"/>
      <c r="R24" s="47"/>
    </row>
    <row r="25" spans="1:18" ht="14.25" customHeight="1">
      <c r="A25" s="39"/>
      <c r="B25" s="24">
        <v>22</v>
      </c>
      <c r="C25" s="25"/>
      <c r="D25" s="26"/>
      <c r="E25" s="26"/>
      <c r="F25" s="136"/>
      <c r="G25" s="137"/>
      <c r="H25" s="138"/>
      <c r="I25" s="8" t="str">
        <f t="shared" si="0"/>
        <v xml:space="preserve"> </v>
      </c>
      <c r="J25" s="28" t="str">
        <f t="shared" si="1"/>
        <v xml:space="preserve"> </v>
      </c>
      <c r="K25" s="29" t="str">
        <f t="shared" si="2"/>
        <v xml:space="preserve"> </v>
      </c>
      <c r="L25" s="28" t="str">
        <f t="shared" si="3"/>
        <v xml:space="preserve"> </v>
      </c>
      <c r="M25" s="12"/>
      <c r="N25" s="12"/>
      <c r="O25" s="12"/>
      <c r="P25" s="46"/>
      <c r="Q25" s="46"/>
      <c r="R25" s="46"/>
    </row>
    <row r="26" spans="1:18" ht="14.25" customHeight="1">
      <c r="A26" s="44"/>
      <c r="B26" s="13">
        <v>23</v>
      </c>
      <c r="C26" s="14"/>
      <c r="D26" s="15"/>
      <c r="E26" s="15"/>
      <c r="F26" s="139"/>
      <c r="G26" s="140"/>
      <c r="H26" s="141"/>
      <c r="I26" s="17" t="str">
        <f t="shared" si="0"/>
        <v xml:space="preserve"> </v>
      </c>
      <c r="J26" s="18" t="str">
        <f t="shared" si="1"/>
        <v xml:space="preserve"> </v>
      </c>
      <c r="K26" s="19" t="str">
        <f t="shared" si="2"/>
        <v xml:space="preserve"> </v>
      </c>
      <c r="L26" s="18" t="str">
        <f t="shared" si="3"/>
        <v xml:space="preserve"> </v>
      </c>
      <c r="M26" s="21"/>
      <c r="N26" s="21"/>
      <c r="O26" s="21"/>
      <c r="P26" s="47"/>
      <c r="Q26" s="47"/>
      <c r="R26" s="47"/>
    </row>
    <row r="27" spans="1:18" ht="14.25" customHeight="1">
      <c r="A27" s="39"/>
      <c r="B27" s="24">
        <v>24</v>
      </c>
      <c r="C27" s="25"/>
      <c r="D27" s="26"/>
      <c r="E27" s="26"/>
      <c r="F27" s="136"/>
      <c r="G27" s="137"/>
      <c r="H27" s="138"/>
      <c r="I27" s="8" t="str">
        <f t="shared" si="0"/>
        <v xml:space="preserve"> </v>
      </c>
      <c r="J27" s="28" t="str">
        <f t="shared" si="1"/>
        <v xml:space="preserve"> </v>
      </c>
      <c r="K27" s="29" t="str">
        <f t="shared" si="2"/>
        <v xml:space="preserve"> </v>
      </c>
      <c r="L27" s="28" t="str">
        <f t="shared" si="3"/>
        <v xml:space="preserve"> </v>
      </c>
      <c r="M27" s="12"/>
      <c r="N27" s="12"/>
      <c r="O27" s="12"/>
      <c r="P27" s="46"/>
      <c r="Q27" s="46"/>
      <c r="R27" s="46"/>
    </row>
    <row r="28" spans="1:18" ht="14.25" customHeight="1">
      <c r="A28" s="44"/>
      <c r="B28" s="13">
        <v>25</v>
      </c>
      <c r="C28" s="14"/>
      <c r="D28" s="15"/>
      <c r="E28" s="15"/>
      <c r="F28" s="139"/>
      <c r="G28" s="140"/>
      <c r="H28" s="141"/>
      <c r="I28" s="17" t="str">
        <f t="shared" si="0"/>
        <v xml:space="preserve"> </v>
      </c>
      <c r="J28" s="18" t="str">
        <f t="shared" si="1"/>
        <v xml:space="preserve"> </v>
      </c>
      <c r="K28" s="19" t="str">
        <f t="shared" si="2"/>
        <v xml:space="preserve"> </v>
      </c>
      <c r="L28" s="18" t="str">
        <f t="shared" si="3"/>
        <v xml:space="preserve"> </v>
      </c>
      <c r="M28" s="21"/>
      <c r="N28" s="21"/>
      <c r="O28" s="21"/>
      <c r="P28" s="47"/>
      <c r="Q28" s="47"/>
      <c r="R28" s="47"/>
    </row>
    <row r="29" spans="1:18" ht="14.25" customHeight="1">
      <c r="A29" s="142" t="s">
        <v>35</v>
      </c>
      <c r="B29" s="52">
        <f>COUNT(I4:I28)</f>
        <v>1</v>
      </c>
      <c r="C29" s="52">
        <f>COUNT(K4:K28)</f>
        <v>0</v>
      </c>
      <c r="D29" s="52">
        <f>SUM(E4:E28)*2</f>
        <v>2</v>
      </c>
      <c r="E29" s="52"/>
      <c r="F29" s="52"/>
      <c r="G29" s="52"/>
      <c r="H29" s="52"/>
      <c r="I29" s="184" t="s">
        <v>36</v>
      </c>
      <c r="J29" s="185"/>
      <c r="K29" s="186" t="s">
        <v>37</v>
      </c>
      <c r="L29" s="185"/>
      <c r="M29" s="12"/>
      <c r="N29" s="12"/>
      <c r="O29" s="12"/>
      <c r="P29" s="46"/>
      <c r="Q29" s="46"/>
      <c r="R29" s="46"/>
    </row>
    <row r="30" spans="1:18" ht="14.25" customHeight="1">
      <c r="A30" s="143"/>
      <c r="B30" s="53"/>
      <c r="C30" s="53"/>
      <c r="D30" s="53"/>
      <c r="E30" s="53"/>
      <c r="F30" s="53"/>
      <c r="G30" s="53"/>
      <c r="H30" s="53"/>
      <c r="I30" s="187">
        <v>15</v>
      </c>
      <c r="J30" s="188"/>
      <c r="K30" s="190">
        <f>I30*D29*1.07</f>
        <v>32.1</v>
      </c>
      <c r="L30" s="188"/>
      <c r="M30" s="47"/>
      <c r="N30" s="47"/>
      <c r="O30" s="47"/>
      <c r="P30" s="47"/>
      <c r="Q30" s="47"/>
      <c r="R30" s="47"/>
    </row>
    <row r="31" spans="1:18" ht="15" customHeight="1">
      <c r="A31" s="144"/>
      <c r="B31" s="54"/>
      <c r="C31" s="54"/>
      <c r="D31" s="54"/>
      <c r="E31" s="54"/>
      <c r="F31" s="54"/>
      <c r="G31" s="54"/>
      <c r="H31" s="54"/>
      <c r="I31" s="144"/>
      <c r="J31" s="189"/>
      <c r="K31" s="191"/>
      <c r="L31" s="189"/>
      <c r="M31" s="46"/>
      <c r="N31" s="46"/>
      <c r="O31" s="46"/>
      <c r="P31" s="46"/>
      <c r="Q31" s="46"/>
      <c r="R31" s="46"/>
    </row>
    <row r="32" spans="1:18" ht="14.25" customHeight="1"/>
    <row r="33" spans="1:18" ht="14.25" customHeight="1"/>
    <row r="34" spans="1:18" ht="14.25" customHeight="1">
      <c r="A34" s="106" t="s">
        <v>2</v>
      </c>
      <c r="B34" s="107"/>
      <c r="C34" s="107"/>
      <c r="D34" s="107"/>
      <c r="E34" s="97"/>
      <c r="F34" s="106" t="s">
        <v>3</v>
      </c>
      <c r="G34" s="107"/>
      <c r="H34" s="97"/>
      <c r="I34" s="108" t="s">
        <v>4</v>
      </c>
      <c r="J34" s="109"/>
      <c r="K34" s="110" t="s">
        <v>5</v>
      </c>
      <c r="L34" s="109"/>
      <c r="O34" s="111" t="s">
        <v>7</v>
      </c>
      <c r="P34" s="107"/>
      <c r="Q34" s="107"/>
      <c r="R34" s="97"/>
    </row>
    <row r="35" spans="1:18" ht="14.25" customHeight="1">
      <c r="A35" s="55" t="s">
        <v>8</v>
      </c>
      <c r="B35" s="55" t="s">
        <v>9</v>
      </c>
      <c r="C35" s="55" t="s">
        <v>10</v>
      </c>
      <c r="D35" s="56" t="s">
        <v>11</v>
      </c>
      <c r="E35" s="57" t="s">
        <v>12</v>
      </c>
      <c r="F35" s="117" t="s">
        <v>11</v>
      </c>
      <c r="G35" s="104"/>
      <c r="H35" s="102"/>
      <c r="I35" s="58" t="s">
        <v>13</v>
      </c>
      <c r="J35" s="59" t="s">
        <v>14</v>
      </c>
      <c r="K35" s="60" t="s">
        <v>13</v>
      </c>
      <c r="L35" s="59" t="s">
        <v>14</v>
      </c>
      <c r="M35" s="61"/>
      <c r="N35" s="61"/>
      <c r="O35" s="112" t="s">
        <v>15</v>
      </c>
      <c r="P35" s="113"/>
      <c r="Q35" s="113"/>
      <c r="R35" s="114"/>
    </row>
    <row r="36" spans="1:18" ht="14.25" customHeight="1">
      <c r="A36" s="62">
        <v>45963</v>
      </c>
      <c r="B36" s="63">
        <v>1</v>
      </c>
      <c r="C36" s="64"/>
      <c r="D36" s="65"/>
      <c r="E36" s="65"/>
      <c r="F36" s="118"/>
      <c r="G36" s="119"/>
      <c r="H36" s="109"/>
      <c r="I36" s="66" t="str">
        <f t="shared" ref="I36:I60" si="4">IF(C36="L",IF(F36-D36&gt;0,F36-D36," "),IF(D36-F36&gt;0,D36-F36," "))</f>
        <v xml:space="preserve"> </v>
      </c>
      <c r="J36" s="67" t="str">
        <f t="shared" ref="J36:J60" si="5">IF(C36="L",IF(F36-D36&gt;0,(F36-D36)*200*E36," "),IF(D36-F36&gt;0,(D36-F36)*200*E36," "))</f>
        <v xml:space="preserve"> </v>
      </c>
      <c r="K36" s="68" t="str">
        <f>IF(C36="L",IF(F36-D36&lt;0,F36-D36," "),IF(D36-F36&lt;0,D36-F36," "))</f>
        <v xml:space="preserve"> </v>
      </c>
      <c r="L36" s="67" t="str">
        <f t="shared" ref="L36:L60" si="6">IF(C36="L",IF(F36-D36&lt;0,(F36-D36)*200*E36," "),IF(D36-F36&lt;0,(D36-F36)*200*E36," "))</f>
        <v xml:space="preserve"> </v>
      </c>
      <c r="M36" s="61"/>
      <c r="N36" s="61"/>
      <c r="O36" s="22" t="s">
        <v>19</v>
      </c>
      <c r="P36" s="23">
        <f>B61+C61</f>
        <v>0</v>
      </c>
      <c r="Q36" s="115"/>
      <c r="R36" s="116"/>
    </row>
    <row r="37" spans="1:18" ht="14.25" customHeight="1">
      <c r="A37" s="69"/>
      <c r="B37" s="63">
        <v>2</v>
      </c>
      <c r="C37" s="64"/>
      <c r="D37" s="65"/>
      <c r="E37" s="65"/>
      <c r="F37" s="93"/>
      <c r="G37" s="94"/>
      <c r="H37" s="95"/>
      <c r="I37" s="66" t="str">
        <f t="shared" si="4"/>
        <v xml:space="preserve"> </v>
      </c>
      <c r="J37" s="67" t="str">
        <f t="shared" si="5"/>
        <v xml:space="preserve"> </v>
      </c>
      <c r="L37" s="67" t="str">
        <f t="shared" si="6"/>
        <v xml:space="preserve"> </v>
      </c>
      <c r="M37" s="61"/>
      <c r="N37" s="61"/>
      <c r="O37" s="70" t="s">
        <v>20</v>
      </c>
      <c r="P37" s="71" t="e">
        <f>B61/P36*100</f>
        <v>#DIV/0!</v>
      </c>
      <c r="Q37" s="72" t="s">
        <v>21</v>
      </c>
      <c r="R37" s="73" t="e">
        <f>C61/P36*100</f>
        <v>#DIV/0!</v>
      </c>
    </row>
    <row r="38" spans="1:18" ht="14.25" customHeight="1">
      <c r="A38" s="63"/>
      <c r="B38" s="63">
        <v>3</v>
      </c>
      <c r="C38" s="64"/>
      <c r="D38" s="65"/>
      <c r="E38" s="65"/>
      <c r="F38" s="93"/>
      <c r="G38" s="94"/>
      <c r="H38" s="95"/>
      <c r="I38" s="66" t="str">
        <f t="shared" si="4"/>
        <v xml:space="preserve"> </v>
      </c>
      <c r="J38" s="67" t="str">
        <f t="shared" si="5"/>
        <v xml:space="preserve"> </v>
      </c>
      <c r="K38" s="68" t="str">
        <f>IF(C37="L",IF(F37-D37&lt;0,F37-D37," "),IF(D37-F37&lt;0,D37-F37," "))</f>
        <v xml:space="preserve"> </v>
      </c>
      <c r="L38" s="67" t="str">
        <f t="shared" si="6"/>
        <v xml:space="preserve"> </v>
      </c>
      <c r="M38" s="61"/>
      <c r="N38" s="61"/>
      <c r="O38" s="70" t="s">
        <v>22</v>
      </c>
      <c r="P38" s="74" t="e">
        <f>SUM(I36:I60)/B61</f>
        <v>#DIV/0!</v>
      </c>
      <c r="Q38" s="72" t="s">
        <v>23</v>
      </c>
      <c r="R38" s="75" t="e">
        <f>SUM(K36:K60)/C61</f>
        <v>#DIV/0!</v>
      </c>
    </row>
    <row r="39" spans="1:18" ht="14.25" customHeight="1">
      <c r="A39" s="69"/>
      <c r="B39" s="63">
        <v>4</v>
      </c>
      <c r="C39" s="64"/>
      <c r="D39" s="65"/>
      <c r="E39" s="65"/>
      <c r="F39" s="93"/>
      <c r="G39" s="94"/>
      <c r="H39" s="95"/>
      <c r="I39" s="66" t="str">
        <f t="shared" si="4"/>
        <v xml:space="preserve"> </v>
      </c>
      <c r="J39" s="67" t="str">
        <f t="shared" si="5"/>
        <v xml:space="preserve"> </v>
      </c>
      <c r="K39" s="68" t="str">
        <f t="shared" ref="K39:K60" si="7">IF(C39="L",IF(F39-D39&lt;0,F39-D39," "),IF(D39-F39&lt;0,D39-F39," "))</f>
        <v xml:space="preserve"> </v>
      </c>
      <c r="L39" s="67" t="str">
        <f t="shared" si="6"/>
        <v xml:space="preserve"> </v>
      </c>
      <c r="M39" s="61"/>
      <c r="N39" s="61"/>
      <c r="O39" s="76" t="s">
        <v>24</v>
      </c>
      <c r="P39" s="77">
        <f>SUM(J36:J60)</f>
        <v>0</v>
      </c>
      <c r="Q39" s="78" t="s">
        <v>25</v>
      </c>
      <c r="R39" s="79">
        <f>SUM(L36:L60)</f>
        <v>0</v>
      </c>
    </row>
    <row r="40" spans="1:18" ht="14.25" customHeight="1">
      <c r="A40" s="63"/>
      <c r="B40" s="63">
        <v>5</v>
      </c>
      <c r="C40" s="64"/>
      <c r="D40" s="65"/>
      <c r="E40" s="65"/>
      <c r="F40" s="93"/>
      <c r="G40" s="94"/>
      <c r="H40" s="95"/>
      <c r="I40" s="66" t="str">
        <f t="shared" si="4"/>
        <v xml:space="preserve"> </v>
      </c>
      <c r="J40" s="67" t="str">
        <f t="shared" si="5"/>
        <v xml:space="preserve"> </v>
      </c>
      <c r="K40" s="68" t="str">
        <f t="shared" si="7"/>
        <v xml:space="preserve"> </v>
      </c>
      <c r="L40" s="67" t="str">
        <f t="shared" si="6"/>
        <v xml:space="preserve"> </v>
      </c>
      <c r="M40" s="61"/>
      <c r="N40" s="61"/>
      <c r="O40" s="128" t="s">
        <v>26</v>
      </c>
      <c r="P40" s="119"/>
      <c r="Q40" s="119"/>
      <c r="R40" s="109"/>
    </row>
    <row r="41" spans="1:18" ht="14.25" customHeight="1">
      <c r="A41" s="63"/>
      <c r="B41" s="63">
        <v>6</v>
      </c>
      <c r="C41" s="64"/>
      <c r="D41" s="65"/>
      <c r="E41" s="65"/>
      <c r="F41" s="93"/>
      <c r="G41" s="94"/>
      <c r="H41" s="95"/>
      <c r="I41" s="66" t="str">
        <f t="shared" si="4"/>
        <v xml:space="preserve"> </v>
      </c>
      <c r="J41" s="67" t="str">
        <f t="shared" si="5"/>
        <v xml:space="preserve"> </v>
      </c>
      <c r="K41" s="68" t="str">
        <f t="shared" si="7"/>
        <v xml:space="preserve"> </v>
      </c>
      <c r="L41" s="67" t="str">
        <f t="shared" si="6"/>
        <v xml:space="preserve"> </v>
      </c>
      <c r="M41" s="61"/>
      <c r="N41" s="61"/>
      <c r="O41" s="129" t="s">
        <v>27</v>
      </c>
      <c r="P41" s="131">
        <f>P39+R39-K62</f>
        <v>0</v>
      </c>
      <c r="Q41" s="129" t="s">
        <v>28</v>
      </c>
      <c r="R41" s="133" t="e">
        <f>K62/P41</f>
        <v>#DIV/0!</v>
      </c>
    </row>
    <row r="42" spans="1:18" ht="14.25" customHeight="1">
      <c r="A42" s="63"/>
      <c r="B42" s="63">
        <v>7</v>
      </c>
      <c r="C42" s="64"/>
      <c r="D42" s="65"/>
      <c r="E42" s="65"/>
      <c r="F42" s="93"/>
      <c r="G42" s="94"/>
      <c r="H42" s="95"/>
      <c r="I42" s="66" t="str">
        <f t="shared" si="4"/>
        <v xml:space="preserve"> </v>
      </c>
      <c r="J42" s="67" t="str">
        <f t="shared" si="5"/>
        <v xml:space="preserve"> </v>
      </c>
      <c r="K42" s="68" t="str">
        <f t="shared" si="7"/>
        <v xml:space="preserve"> </v>
      </c>
      <c r="L42" s="67" t="str">
        <f t="shared" si="6"/>
        <v xml:space="preserve"> </v>
      </c>
      <c r="M42" s="61"/>
      <c r="N42" s="61"/>
      <c r="O42" s="130"/>
      <c r="P42" s="132"/>
      <c r="Q42" s="130"/>
      <c r="R42" s="132"/>
    </row>
    <row r="43" spans="1:18" ht="14.25" customHeight="1">
      <c r="A43" s="63"/>
      <c r="B43" s="63">
        <v>8</v>
      </c>
      <c r="C43" s="64"/>
      <c r="D43" s="65"/>
      <c r="E43" s="65"/>
      <c r="F43" s="93"/>
      <c r="G43" s="94"/>
      <c r="H43" s="95"/>
      <c r="I43" s="66" t="str">
        <f t="shared" si="4"/>
        <v xml:space="preserve"> </v>
      </c>
      <c r="J43" s="67" t="str">
        <f t="shared" si="5"/>
        <v xml:space="preserve"> </v>
      </c>
      <c r="K43" s="68" t="str">
        <f t="shared" si="7"/>
        <v xml:space="preserve"> </v>
      </c>
      <c r="L43" s="67" t="str">
        <f t="shared" si="6"/>
        <v xml:space="preserve"> </v>
      </c>
      <c r="M43" s="61"/>
      <c r="N43" s="61"/>
      <c r="O43" s="124" t="s">
        <v>29</v>
      </c>
      <c r="P43" s="125"/>
      <c r="Q43" s="100"/>
      <c r="R43" s="126" t="e">
        <f>IF(R39&lt;0,((P37*P38/100)+(R37*R38/100)),P38)</f>
        <v>#DIV/0!</v>
      </c>
    </row>
    <row r="44" spans="1:18" ht="14.25" customHeight="1">
      <c r="A44" s="63"/>
      <c r="B44" s="63">
        <v>9</v>
      </c>
      <c r="C44" s="64"/>
      <c r="D44" s="65"/>
      <c r="E44" s="65"/>
      <c r="F44" s="93"/>
      <c r="G44" s="94"/>
      <c r="H44" s="95"/>
      <c r="I44" s="66" t="str">
        <f t="shared" si="4"/>
        <v xml:space="preserve"> </v>
      </c>
      <c r="J44" s="67" t="str">
        <f t="shared" si="5"/>
        <v xml:space="preserve"> </v>
      </c>
      <c r="K44" s="68" t="str">
        <f t="shared" si="7"/>
        <v xml:space="preserve"> </v>
      </c>
      <c r="L44" s="67" t="str">
        <f t="shared" si="6"/>
        <v xml:space="preserve"> </v>
      </c>
      <c r="M44" s="61"/>
      <c r="N44" s="61"/>
      <c r="O44" s="101"/>
      <c r="P44" s="104"/>
      <c r="Q44" s="102"/>
      <c r="R44" s="127"/>
    </row>
    <row r="45" spans="1:18" ht="14.25" customHeight="1">
      <c r="A45" s="63"/>
      <c r="B45" s="63">
        <v>10</v>
      </c>
      <c r="C45" s="64"/>
      <c r="D45" s="65"/>
      <c r="E45" s="65"/>
      <c r="F45" s="93"/>
      <c r="G45" s="94"/>
      <c r="H45" s="95"/>
      <c r="I45" s="66" t="str">
        <f t="shared" si="4"/>
        <v xml:space="preserve"> </v>
      </c>
      <c r="J45" s="67" t="str">
        <f t="shared" si="5"/>
        <v xml:space="preserve"> </v>
      </c>
      <c r="K45" s="68" t="str">
        <f t="shared" si="7"/>
        <v xml:space="preserve"> </v>
      </c>
      <c r="L45" s="67" t="str">
        <f t="shared" si="6"/>
        <v xml:space="preserve"> </v>
      </c>
      <c r="M45" s="61"/>
      <c r="N45" s="61"/>
    </row>
    <row r="46" spans="1:18" ht="14.25" customHeight="1">
      <c r="A46" s="63"/>
      <c r="B46" s="63">
        <v>11</v>
      </c>
      <c r="C46" s="64"/>
      <c r="D46" s="65"/>
      <c r="E46" s="65"/>
      <c r="F46" s="93"/>
      <c r="G46" s="94"/>
      <c r="H46" s="95"/>
      <c r="I46" s="66" t="str">
        <f t="shared" si="4"/>
        <v xml:space="preserve"> </v>
      </c>
      <c r="J46" s="67" t="str">
        <f t="shared" si="5"/>
        <v xml:space="preserve"> </v>
      </c>
      <c r="K46" s="68" t="str">
        <f t="shared" si="7"/>
        <v xml:space="preserve"> </v>
      </c>
      <c r="L46" s="67" t="str">
        <f t="shared" si="6"/>
        <v xml:space="preserve"> </v>
      </c>
      <c r="M46" s="61"/>
      <c r="N46" s="61"/>
      <c r="O46" s="134" t="s">
        <v>30</v>
      </c>
      <c r="P46" s="107"/>
      <c r="Q46" s="97"/>
    </row>
    <row r="47" spans="1:18" ht="14.25" customHeight="1">
      <c r="A47" s="63"/>
      <c r="B47" s="63">
        <v>12</v>
      </c>
      <c r="C47" s="64"/>
      <c r="D47" s="65"/>
      <c r="E47" s="65"/>
      <c r="F47" s="93"/>
      <c r="G47" s="94"/>
      <c r="H47" s="95"/>
      <c r="I47" s="66" t="str">
        <f t="shared" si="4"/>
        <v xml:space="preserve"> </v>
      </c>
      <c r="J47" s="67" t="str">
        <f t="shared" si="5"/>
        <v xml:space="preserve"> </v>
      </c>
      <c r="K47" s="68" t="str">
        <f t="shared" si="7"/>
        <v xml:space="preserve"> </v>
      </c>
      <c r="L47" s="67" t="str">
        <f t="shared" si="6"/>
        <v xml:space="preserve"> </v>
      </c>
      <c r="M47" s="61"/>
      <c r="N47" s="61"/>
      <c r="O47" s="80" t="s">
        <v>31</v>
      </c>
      <c r="P47" s="135">
        <f>MAX(I36:I60)</f>
        <v>0</v>
      </c>
      <c r="Q47" s="95"/>
    </row>
    <row r="48" spans="1:18" ht="14.25" customHeight="1">
      <c r="A48" s="63"/>
      <c r="B48" s="63">
        <v>13</v>
      </c>
      <c r="C48" s="64"/>
      <c r="D48" s="65"/>
      <c r="E48" s="65"/>
      <c r="F48" s="93"/>
      <c r="G48" s="94"/>
      <c r="H48" s="95"/>
      <c r="I48" s="66" t="str">
        <f t="shared" si="4"/>
        <v xml:space="preserve"> </v>
      </c>
      <c r="J48" s="67" t="str">
        <f t="shared" si="5"/>
        <v xml:space="preserve"> </v>
      </c>
      <c r="K48" s="68" t="str">
        <f t="shared" si="7"/>
        <v xml:space="preserve"> </v>
      </c>
      <c r="L48" s="67" t="str">
        <f t="shared" si="6"/>
        <v xml:space="preserve"> </v>
      </c>
      <c r="M48" s="61"/>
      <c r="N48" s="61"/>
      <c r="O48" s="81" t="s">
        <v>32</v>
      </c>
      <c r="P48" s="123">
        <f>MAX(J36:J60)</f>
        <v>0</v>
      </c>
      <c r="Q48" s="95"/>
    </row>
    <row r="49" spans="1:17" ht="14.25" customHeight="1">
      <c r="A49" s="63"/>
      <c r="B49" s="63">
        <v>14</v>
      </c>
      <c r="C49" s="64"/>
      <c r="D49" s="65"/>
      <c r="E49" s="65"/>
      <c r="F49" s="93"/>
      <c r="G49" s="94"/>
      <c r="H49" s="95"/>
      <c r="I49" s="66" t="str">
        <f t="shared" si="4"/>
        <v xml:space="preserve"> </v>
      </c>
      <c r="J49" s="67" t="str">
        <f t="shared" si="5"/>
        <v xml:space="preserve"> </v>
      </c>
      <c r="K49" s="68" t="str">
        <f t="shared" si="7"/>
        <v xml:space="preserve"> </v>
      </c>
      <c r="L49" s="67" t="str">
        <f t="shared" si="6"/>
        <v xml:space="preserve"> </v>
      </c>
      <c r="M49" s="61"/>
      <c r="N49" s="61"/>
      <c r="O49" s="82" t="s">
        <v>33</v>
      </c>
      <c r="P49" s="120">
        <f>MIN(K36:K60)</f>
        <v>0</v>
      </c>
      <c r="Q49" s="95"/>
    </row>
    <row r="50" spans="1:17" ht="14.25" customHeight="1">
      <c r="A50" s="63"/>
      <c r="B50" s="63">
        <v>15</v>
      </c>
      <c r="C50" s="64"/>
      <c r="D50" s="65"/>
      <c r="E50" s="65"/>
      <c r="F50" s="93"/>
      <c r="G50" s="94"/>
      <c r="H50" s="95"/>
      <c r="I50" s="66" t="str">
        <f t="shared" si="4"/>
        <v xml:space="preserve"> </v>
      </c>
      <c r="J50" s="67" t="str">
        <f t="shared" si="5"/>
        <v xml:space="preserve"> </v>
      </c>
      <c r="K50" s="68" t="str">
        <f t="shared" si="7"/>
        <v xml:space="preserve"> </v>
      </c>
      <c r="L50" s="67" t="str">
        <f t="shared" si="6"/>
        <v xml:space="preserve"> </v>
      </c>
      <c r="M50" s="61"/>
      <c r="N50" s="61"/>
      <c r="O50" s="83" t="s">
        <v>34</v>
      </c>
      <c r="P50" s="121">
        <f>MIN(L36:L60)</f>
        <v>0</v>
      </c>
      <c r="Q50" s="122"/>
    </row>
    <row r="51" spans="1:17" ht="14.25" customHeight="1">
      <c r="A51" s="63"/>
      <c r="B51" s="63">
        <v>16</v>
      </c>
      <c r="C51" s="64"/>
      <c r="D51" s="65"/>
      <c r="E51" s="65"/>
      <c r="F51" s="93"/>
      <c r="G51" s="94"/>
      <c r="H51" s="95"/>
      <c r="I51" s="66" t="str">
        <f t="shared" si="4"/>
        <v xml:space="preserve"> </v>
      </c>
      <c r="J51" s="67" t="str">
        <f t="shared" si="5"/>
        <v xml:space="preserve"> </v>
      </c>
      <c r="K51" s="68" t="str">
        <f t="shared" si="7"/>
        <v xml:space="preserve"> </v>
      </c>
      <c r="L51" s="67" t="str">
        <f t="shared" si="6"/>
        <v xml:space="preserve"> </v>
      </c>
      <c r="M51" s="61"/>
      <c r="N51" s="61"/>
      <c r="O51" s="61"/>
    </row>
    <row r="52" spans="1:17" ht="14.25" customHeight="1">
      <c r="A52" s="63"/>
      <c r="B52" s="63">
        <v>17</v>
      </c>
      <c r="C52" s="64"/>
      <c r="D52" s="65"/>
      <c r="E52" s="65"/>
      <c r="F52" s="93"/>
      <c r="G52" s="94"/>
      <c r="H52" s="95"/>
      <c r="I52" s="66" t="str">
        <f t="shared" si="4"/>
        <v xml:space="preserve"> </v>
      </c>
      <c r="J52" s="67" t="str">
        <f t="shared" si="5"/>
        <v xml:space="preserve"> </v>
      </c>
      <c r="K52" s="68" t="str">
        <f t="shared" si="7"/>
        <v xml:space="preserve"> </v>
      </c>
      <c r="L52" s="67" t="str">
        <f t="shared" si="6"/>
        <v xml:space="preserve"> </v>
      </c>
      <c r="M52" s="61"/>
      <c r="N52" s="61"/>
      <c r="O52" s="61"/>
    </row>
    <row r="53" spans="1:17" ht="14.25" customHeight="1">
      <c r="A53" s="63"/>
      <c r="B53" s="63">
        <v>18</v>
      </c>
      <c r="C53" s="64"/>
      <c r="D53" s="65"/>
      <c r="E53" s="65"/>
      <c r="F53" s="93"/>
      <c r="G53" s="94"/>
      <c r="H53" s="95"/>
      <c r="I53" s="66" t="str">
        <f t="shared" si="4"/>
        <v xml:space="preserve"> </v>
      </c>
      <c r="J53" s="67" t="str">
        <f t="shared" si="5"/>
        <v xml:space="preserve"> </v>
      </c>
      <c r="K53" s="68" t="str">
        <f t="shared" si="7"/>
        <v xml:space="preserve"> </v>
      </c>
      <c r="L53" s="67" t="str">
        <f t="shared" si="6"/>
        <v xml:space="preserve"> </v>
      </c>
      <c r="M53" s="61"/>
      <c r="N53" s="61"/>
      <c r="O53" s="61"/>
    </row>
    <row r="54" spans="1:17" ht="14.25" customHeight="1">
      <c r="A54" s="63"/>
      <c r="B54" s="63">
        <v>19</v>
      </c>
      <c r="C54" s="64"/>
      <c r="D54" s="65"/>
      <c r="E54" s="65"/>
      <c r="F54" s="93"/>
      <c r="G54" s="94"/>
      <c r="H54" s="95"/>
      <c r="I54" s="66" t="str">
        <f t="shared" si="4"/>
        <v xml:space="preserve"> </v>
      </c>
      <c r="J54" s="67" t="str">
        <f t="shared" si="5"/>
        <v xml:space="preserve"> </v>
      </c>
      <c r="K54" s="68" t="str">
        <f t="shared" si="7"/>
        <v xml:space="preserve"> </v>
      </c>
      <c r="L54" s="67" t="str">
        <f t="shared" si="6"/>
        <v xml:space="preserve"> </v>
      </c>
      <c r="M54" s="61"/>
      <c r="N54" s="61"/>
      <c r="O54" s="61"/>
    </row>
    <row r="55" spans="1:17" ht="14.25" customHeight="1">
      <c r="A55" s="63"/>
      <c r="B55" s="63">
        <v>20</v>
      </c>
      <c r="C55" s="64"/>
      <c r="D55" s="65"/>
      <c r="E55" s="65"/>
      <c r="F55" s="93"/>
      <c r="G55" s="94"/>
      <c r="H55" s="95"/>
      <c r="I55" s="66" t="str">
        <f t="shared" si="4"/>
        <v xml:space="preserve"> </v>
      </c>
      <c r="J55" s="67" t="str">
        <f t="shared" si="5"/>
        <v xml:space="preserve"> </v>
      </c>
      <c r="K55" s="68" t="str">
        <f t="shared" si="7"/>
        <v xml:space="preserve"> </v>
      </c>
      <c r="L55" s="67" t="str">
        <f t="shared" si="6"/>
        <v xml:space="preserve"> </v>
      </c>
      <c r="M55" s="61"/>
      <c r="N55" s="61"/>
      <c r="O55" s="61"/>
    </row>
    <row r="56" spans="1:17" ht="14.25" customHeight="1">
      <c r="A56" s="63"/>
      <c r="B56" s="63">
        <v>21</v>
      </c>
      <c r="C56" s="64"/>
      <c r="D56" s="65"/>
      <c r="E56" s="65"/>
      <c r="F56" s="93"/>
      <c r="G56" s="94"/>
      <c r="H56" s="95"/>
      <c r="I56" s="66" t="str">
        <f t="shared" si="4"/>
        <v xml:space="preserve"> </v>
      </c>
      <c r="J56" s="67" t="str">
        <f t="shared" si="5"/>
        <v xml:space="preserve"> </v>
      </c>
      <c r="K56" s="68" t="str">
        <f t="shared" si="7"/>
        <v xml:space="preserve"> </v>
      </c>
      <c r="L56" s="67" t="str">
        <f t="shared" si="6"/>
        <v xml:space="preserve"> </v>
      </c>
      <c r="M56" s="61"/>
      <c r="N56" s="61"/>
      <c r="O56" s="61"/>
    </row>
    <row r="57" spans="1:17" ht="14.25" customHeight="1">
      <c r="A57" s="63"/>
      <c r="B57" s="63">
        <v>22</v>
      </c>
      <c r="C57" s="64"/>
      <c r="D57" s="65"/>
      <c r="E57" s="65"/>
      <c r="F57" s="93"/>
      <c r="G57" s="94"/>
      <c r="H57" s="95"/>
      <c r="I57" s="66" t="str">
        <f t="shared" si="4"/>
        <v xml:space="preserve"> </v>
      </c>
      <c r="J57" s="67" t="str">
        <f t="shared" si="5"/>
        <v xml:space="preserve"> </v>
      </c>
      <c r="K57" s="68" t="str">
        <f t="shared" si="7"/>
        <v xml:space="preserve"> </v>
      </c>
      <c r="L57" s="67" t="str">
        <f t="shared" si="6"/>
        <v xml:space="preserve"> </v>
      </c>
      <c r="M57" s="61"/>
      <c r="N57" s="61"/>
      <c r="O57" s="61"/>
    </row>
    <row r="58" spans="1:17" ht="14.25" customHeight="1">
      <c r="A58" s="63"/>
      <c r="B58" s="63">
        <v>23</v>
      </c>
      <c r="C58" s="64"/>
      <c r="D58" s="65"/>
      <c r="E58" s="65"/>
      <c r="F58" s="93"/>
      <c r="G58" s="94"/>
      <c r="H58" s="95"/>
      <c r="I58" s="66" t="str">
        <f t="shared" si="4"/>
        <v xml:space="preserve"> </v>
      </c>
      <c r="J58" s="67" t="str">
        <f t="shared" si="5"/>
        <v xml:space="preserve"> </v>
      </c>
      <c r="K58" s="68" t="str">
        <f t="shared" si="7"/>
        <v xml:space="preserve"> </v>
      </c>
      <c r="L58" s="67" t="str">
        <f t="shared" si="6"/>
        <v xml:space="preserve"> </v>
      </c>
      <c r="M58" s="61"/>
      <c r="N58" s="61"/>
      <c r="O58" s="61"/>
    </row>
    <row r="59" spans="1:17" ht="14.25" customHeight="1">
      <c r="A59" s="63"/>
      <c r="B59" s="63">
        <v>24</v>
      </c>
      <c r="C59" s="64"/>
      <c r="D59" s="65"/>
      <c r="E59" s="65"/>
      <c r="F59" s="93"/>
      <c r="G59" s="94"/>
      <c r="H59" s="95"/>
      <c r="I59" s="66" t="str">
        <f t="shared" si="4"/>
        <v xml:space="preserve"> </v>
      </c>
      <c r="J59" s="67" t="str">
        <f t="shared" si="5"/>
        <v xml:space="preserve"> </v>
      </c>
      <c r="K59" s="68" t="str">
        <f t="shared" si="7"/>
        <v xml:space="preserve"> </v>
      </c>
      <c r="L59" s="67" t="str">
        <f t="shared" si="6"/>
        <v xml:space="preserve"> </v>
      </c>
      <c r="M59" s="61"/>
      <c r="N59" s="61"/>
      <c r="O59" s="61"/>
    </row>
    <row r="60" spans="1:17" ht="14.25" customHeight="1">
      <c r="A60" s="63"/>
      <c r="B60" s="63">
        <v>25</v>
      </c>
      <c r="C60" s="64"/>
      <c r="D60" s="65"/>
      <c r="E60" s="65"/>
      <c r="F60" s="93"/>
      <c r="G60" s="94"/>
      <c r="H60" s="95"/>
      <c r="I60" s="66" t="str">
        <f t="shared" si="4"/>
        <v xml:space="preserve"> </v>
      </c>
      <c r="J60" s="67" t="str">
        <f t="shared" si="5"/>
        <v xml:space="preserve"> </v>
      </c>
      <c r="K60" s="68" t="str">
        <f t="shared" si="7"/>
        <v xml:space="preserve"> </v>
      </c>
      <c r="L60" s="67" t="str">
        <f t="shared" si="6"/>
        <v xml:space="preserve"> </v>
      </c>
      <c r="M60" s="61"/>
      <c r="N60" s="61"/>
      <c r="O60" s="61"/>
    </row>
    <row r="61" spans="1:17" ht="14.25" customHeight="1">
      <c r="A61" s="99" t="s">
        <v>35</v>
      </c>
      <c r="B61" s="84">
        <f>COUNT(I36:I60)</f>
        <v>0</v>
      </c>
      <c r="C61" s="84">
        <f>COUNT(K36:K60)</f>
        <v>0</v>
      </c>
      <c r="D61" s="84">
        <f>SUM(E36:E60)*2</f>
        <v>0</v>
      </c>
      <c r="E61" s="84"/>
      <c r="F61" s="84"/>
      <c r="G61" s="84"/>
      <c r="H61" s="84"/>
      <c r="I61" s="96" t="s">
        <v>36</v>
      </c>
      <c r="J61" s="97"/>
      <c r="K61" s="98" t="s">
        <v>37</v>
      </c>
      <c r="L61" s="97"/>
      <c r="M61" s="61"/>
      <c r="N61" s="61"/>
      <c r="O61" s="61"/>
    </row>
    <row r="62" spans="1:17" ht="14.25" customHeight="1">
      <c r="A62" s="105"/>
      <c r="B62" s="85"/>
      <c r="C62" s="85"/>
      <c r="D62" s="85"/>
      <c r="E62" s="85"/>
      <c r="F62" s="85"/>
      <c r="G62" s="85"/>
      <c r="H62" s="85"/>
      <c r="I62" s="99">
        <f>I30</f>
        <v>15</v>
      </c>
      <c r="J62" s="100"/>
      <c r="K62" s="103">
        <f>I62*D61*1.07</f>
        <v>0</v>
      </c>
      <c r="L62" s="100"/>
    </row>
    <row r="63" spans="1:17" ht="14.25" customHeight="1">
      <c r="A63" s="101"/>
      <c r="B63" s="86"/>
      <c r="C63" s="86"/>
      <c r="D63" s="86"/>
      <c r="E63" s="86"/>
      <c r="F63" s="86"/>
      <c r="G63" s="86"/>
      <c r="H63" s="86"/>
      <c r="I63" s="101"/>
      <c r="J63" s="102"/>
      <c r="K63" s="104"/>
      <c r="L63" s="102"/>
    </row>
    <row r="64" spans="1:17" ht="14.25" customHeight="1"/>
    <row r="65" spans="1:18" ht="14.25" customHeight="1"/>
    <row r="66" spans="1:18" ht="14.25" customHeight="1">
      <c r="A66" s="106" t="s">
        <v>2</v>
      </c>
      <c r="B66" s="107"/>
      <c r="C66" s="107"/>
      <c r="D66" s="107"/>
      <c r="E66" s="97"/>
      <c r="F66" s="106" t="s">
        <v>3</v>
      </c>
      <c r="G66" s="107"/>
      <c r="H66" s="97"/>
      <c r="I66" s="108" t="s">
        <v>4</v>
      </c>
      <c r="J66" s="109"/>
      <c r="K66" s="110" t="s">
        <v>5</v>
      </c>
      <c r="L66" s="109"/>
      <c r="O66" s="111" t="s">
        <v>7</v>
      </c>
      <c r="P66" s="107"/>
      <c r="Q66" s="107"/>
      <c r="R66" s="97"/>
    </row>
    <row r="67" spans="1:18" ht="14.25" customHeight="1">
      <c r="A67" s="55" t="s">
        <v>8</v>
      </c>
      <c r="B67" s="55" t="s">
        <v>9</v>
      </c>
      <c r="C67" s="55" t="s">
        <v>10</v>
      </c>
      <c r="D67" s="56" t="s">
        <v>11</v>
      </c>
      <c r="E67" s="57" t="s">
        <v>12</v>
      </c>
      <c r="F67" s="117" t="s">
        <v>11</v>
      </c>
      <c r="G67" s="104"/>
      <c r="H67" s="102"/>
      <c r="I67" s="58" t="s">
        <v>13</v>
      </c>
      <c r="J67" s="59" t="s">
        <v>14</v>
      </c>
      <c r="K67" s="60" t="s">
        <v>13</v>
      </c>
      <c r="L67" s="59" t="s">
        <v>14</v>
      </c>
      <c r="M67" s="61"/>
      <c r="N67" s="61"/>
      <c r="O67" s="112" t="s">
        <v>15</v>
      </c>
      <c r="P67" s="113"/>
      <c r="Q67" s="113"/>
      <c r="R67" s="114"/>
    </row>
    <row r="68" spans="1:18" ht="14.25" customHeight="1">
      <c r="A68" s="62">
        <v>42370</v>
      </c>
      <c r="B68" s="63">
        <v>1</v>
      </c>
      <c r="C68" s="64"/>
      <c r="D68" s="65"/>
      <c r="E68" s="65"/>
      <c r="F68" s="118"/>
      <c r="G68" s="119"/>
      <c r="H68" s="109"/>
      <c r="I68" s="66" t="str">
        <f t="shared" ref="I68:I92" si="8">IF(C68="L",IF(F68-D68&gt;0,F68-D68," "),IF(D68-F68&gt;0,D68-F68," "))</f>
        <v xml:space="preserve"> </v>
      </c>
      <c r="J68" s="67" t="str">
        <f t="shared" ref="J68:J92" si="9">IF(C68="L",IF(F68-D68&gt;0,(F68-D68)*200*E68," "),IF(D68-F68&gt;0,(D68-F68)*200*E68," "))</f>
        <v xml:space="preserve"> </v>
      </c>
      <c r="K68" s="68" t="str">
        <f t="shared" ref="K68:K92" si="10">IF(C68="L",IF(F68-D68&lt;0,F68-D68," "),IF(D68-F68&lt;0,D68-F68," "))</f>
        <v xml:space="preserve"> </v>
      </c>
      <c r="L68" s="67" t="str">
        <f t="shared" ref="L68:L92" si="11">IF(C68="L",IF(F68-D68&lt;0,(F68-D68)*200*E68," "),IF(D68-F68&lt;0,(D68-F68)*200*E68," "))</f>
        <v xml:space="preserve"> </v>
      </c>
      <c r="M68" s="61"/>
      <c r="N68" s="61"/>
      <c r="O68" s="22" t="s">
        <v>19</v>
      </c>
      <c r="P68" s="23">
        <f>B93+C93</f>
        <v>0</v>
      </c>
      <c r="Q68" s="115"/>
      <c r="R68" s="116"/>
    </row>
    <row r="69" spans="1:18" ht="14.25" customHeight="1">
      <c r="A69" s="63"/>
      <c r="B69" s="63">
        <v>2</v>
      </c>
      <c r="C69" s="64"/>
      <c r="D69" s="65"/>
      <c r="E69" s="65"/>
      <c r="F69" s="93"/>
      <c r="G69" s="94"/>
      <c r="H69" s="95"/>
      <c r="I69" s="66" t="str">
        <f t="shared" si="8"/>
        <v xml:space="preserve"> </v>
      </c>
      <c r="J69" s="67" t="str">
        <f t="shared" si="9"/>
        <v xml:space="preserve"> </v>
      </c>
      <c r="K69" s="68" t="str">
        <f t="shared" si="10"/>
        <v xml:space="preserve"> </v>
      </c>
      <c r="L69" s="67" t="str">
        <f t="shared" si="11"/>
        <v xml:space="preserve"> </v>
      </c>
      <c r="M69" s="61"/>
      <c r="N69" s="61"/>
      <c r="O69" s="70" t="s">
        <v>20</v>
      </c>
      <c r="P69" s="71" t="e">
        <f>B93/P68*100</f>
        <v>#DIV/0!</v>
      </c>
      <c r="Q69" s="72" t="s">
        <v>21</v>
      </c>
      <c r="R69" s="73" t="e">
        <f>C93/P68*100</f>
        <v>#DIV/0!</v>
      </c>
    </row>
    <row r="70" spans="1:18" ht="14.25" customHeight="1">
      <c r="A70" s="63"/>
      <c r="B70" s="63">
        <v>3</v>
      </c>
      <c r="C70" s="64"/>
      <c r="D70" s="65"/>
      <c r="E70" s="65"/>
      <c r="F70" s="93"/>
      <c r="G70" s="94"/>
      <c r="H70" s="95"/>
      <c r="I70" s="66" t="str">
        <f t="shared" si="8"/>
        <v xml:space="preserve"> </v>
      </c>
      <c r="J70" s="67" t="str">
        <f t="shared" si="9"/>
        <v xml:space="preserve"> </v>
      </c>
      <c r="K70" s="68" t="str">
        <f t="shared" si="10"/>
        <v xml:space="preserve"> </v>
      </c>
      <c r="L70" s="67" t="str">
        <f t="shared" si="11"/>
        <v xml:space="preserve"> </v>
      </c>
      <c r="M70" s="61"/>
      <c r="N70" s="61"/>
      <c r="O70" s="70" t="s">
        <v>22</v>
      </c>
      <c r="P70" s="74" t="e">
        <f>SUM(I68:I92)/B93</f>
        <v>#DIV/0!</v>
      </c>
      <c r="Q70" s="72" t="s">
        <v>23</v>
      </c>
      <c r="R70" s="75" t="e">
        <f>SUM(K68:K92)/C93</f>
        <v>#DIV/0!</v>
      </c>
    </row>
    <row r="71" spans="1:18" ht="14.25" customHeight="1">
      <c r="A71" s="63"/>
      <c r="B71" s="63">
        <v>4</v>
      </c>
      <c r="C71" s="64"/>
      <c r="D71" s="65"/>
      <c r="E71" s="65"/>
      <c r="F71" s="93"/>
      <c r="G71" s="94"/>
      <c r="H71" s="95"/>
      <c r="I71" s="66" t="str">
        <f t="shared" si="8"/>
        <v xml:space="preserve"> </v>
      </c>
      <c r="J71" s="67" t="str">
        <f t="shared" si="9"/>
        <v xml:space="preserve"> </v>
      </c>
      <c r="K71" s="68" t="str">
        <f t="shared" si="10"/>
        <v xml:space="preserve"> </v>
      </c>
      <c r="L71" s="67" t="str">
        <f t="shared" si="11"/>
        <v xml:space="preserve"> </v>
      </c>
      <c r="M71" s="61"/>
      <c r="N71" s="61"/>
      <c r="O71" s="76" t="s">
        <v>24</v>
      </c>
      <c r="P71" s="77">
        <f>SUM(J68:J92)</f>
        <v>0</v>
      </c>
      <c r="Q71" s="78" t="s">
        <v>25</v>
      </c>
      <c r="R71" s="79">
        <f>SUM(L68:L92)</f>
        <v>0</v>
      </c>
    </row>
    <row r="72" spans="1:18" ht="14.25" customHeight="1">
      <c r="A72" s="63"/>
      <c r="B72" s="63">
        <v>5</v>
      </c>
      <c r="C72" s="64"/>
      <c r="D72" s="65"/>
      <c r="E72" s="65"/>
      <c r="F72" s="93"/>
      <c r="G72" s="94"/>
      <c r="H72" s="95"/>
      <c r="I72" s="66" t="str">
        <f t="shared" si="8"/>
        <v xml:space="preserve"> </v>
      </c>
      <c r="J72" s="67" t="str">
        <f t="shared" si="9"/>
        <v xml:space="preserve"> </v>
      </c>
      <c r="K72" s="68" t="str">
        <f t="shared" si="10"/>
        <v xml:space="preserve"> </v>
      </c>
      <c r="L72" s="67" t="str">
        <f t="shared" si="11"/>
        <v xml:space="preserve"> </v>
      </c>
      <c r="M72" s="61"/>
      <c r="N72" s="61"/>
      <c r="O72" s="128" t="s">
        <v>26</v>
      </c>
      <c r="P72" s="119"/>
      <c r="Q72" s="119"/>
      <c r="R72" s="109"/>
    </row>
    <row r="73" spans="1:18" ht="14.25" customHeight="1">
      <c r="A73" s="63"/>
      <c r="B73" s="63">
        <v>6</v>
      </c>
      <c r="C73" s="64"/>
      <c r="D73" s="65"/>
      <c r="E73" s="65"/>
      <c r="F73" s="93"/>
      <c r="G73" s="94"/>
      <c r="H73" s="95"/>
      <c r="I73" s="66" t="str">
        <f t="shared" si="8"/>
        <v xml:space="preserve"> </v>
      </c>
      <c r="J73" s="67" t="str">
        <f t="shared" si="9"/>
        <v xml:space="preserve"> </v>
      </c>
      <c r="K73" s="68" t="str">
        <f t="shared" si="10"/>
        <v xml:space="preserve"> </v>
      </c>
      <c r="L73" s="67" t="str">
        <f t="shared" si="11"/>
        <v xml:space="preserve"> </v>
      </c>
      <c r="M73" s="61"/>
      <c r="N73" s="61"/>
      <c r="O73" s="129" t="s">
        <v>27</v>
      </c>
      <c r="P73" s="131">
        <f>P71+R71-K94</f>
        <v>0</v>
      </c>
      <c r="Q73" s="129" t="s">
        <v>28</v>
      </c>
      <c r="R73" s="133" t="e">
        <f>K94/P73</f>
        <v>#DIV/0!</v>
      </c>
    </row>
    <row r="74" spans="1:18" ht="14.25" customHeight="1">
      <c r="A74" s="63"/>
      <c r="B74" s="63">
        <v>7</v>
      </c>
      <c r="C74" s="64"/>
      <c r="D74" s="65"/>
      <c r="E74" s="65"/>
      <c r="F74" s="93"/>
      <c r="G74" s="94"/>
      <c r="H74" s="95"/>
      <c r="I74" s="66" t="str">
        <f t="shared" si="8"/>
        <v xml:space="preserve"> </v>
      </c>
      <c r="J74" s="67" t="str">
        <f t="shared" si="9"/>
        <v xml:space="preserve"> </v>
      </c>
      <c r="K74" s="68" t="str">
        <f t="shared" si="10"/>
        <v xml:space="preserve"> </v>
      </c>
      <c r="L74" s="67" t="str">
        <f t="shared" si="11"/>
        <v xml:space="preserve"> </v>
      </c>
      <c r="M74" s="61"/>
      <c r="N74" s="61"/>
      <c r="O74" s="130"/>
      <c r="P74" s="132"/>
      <c r="Q74" s="130"/>
      <c r="R74" s="132"/>
    </row>
    <row r="75" spans="1:18" ht="14.25" customHeight="1">
      <c r="A75" s="63"/>
      <c r="B75" s="63">
        <v>8</v>
      </c>
      <c r="C75" s="64"/>
      <c r="D75" s="65"/>
      <c r="E75" s="65"/>
      <c r="F75" s="93"/>
      <c r="G75" s="94"/>
      <c r="H75" s="95"/>
      <c r="I75" s="66" t="str">
        <f t="shared" si="8"/>
        <v xml:space="preserve"> </v>
      </c>
      <c r="J75" s="67" t="str">
        <f t="shared" si="9"/>
        <v xml:space="preserve"> </v>
      </c>
      <c r="K75" s="68" t="str">
        <f t="shared" si="10"/>
        <v xml:space="preserve"> </v>
      </c>
      <c r="L75" s="67" t="str">
        <f t="shared" si="11"/>
        <v xml:space="preserve"> </v>
      </c>
      <c r="M75" s="61"/>
      <c r="N75" s="61"/>
      <c r="O75" s="124" t="s">
        <v>29</v>
      </c>
      <c r="P75" s="125"/>
      <c r="Q75" s="100"/>
      <c r="R75" s="126" t="e">
        <f>IF(R71&lt;0,((P69*P70/100)+(R69*R70/100)),P70)</f>
        <v>#DIV/0!</v>
      </c>
    </row>
    <row r="76" spans="1:18" ht="14.25" customHeight="1">
      <c r="A76" s="63"/>
      <c r="B76" s="63">
        <v>9</v>
      </c>
      <c r="C76" s="64"/>
      <c r="D76" s="65"/>
      <c r="E76" s="65"/>
      <c r="F76" s="93"/>
      <c r="G76" s="94"/>
      <c r="H76" s="95"/>
      <c r="I76" s="66" t="str">
        <f t="shared" si="8"/>
        <v xml:space="preserve"> </v>
      </c>
      <c r="J76" s="67" t="str">
        <f t="shared" si="9"/>
        <v xml:space="preserve"> </v>
      </c>
      <c r="K76" s="68" t="str">
        <f t="shared" si="10"/>
        <v xml:space="preserve"> </v>
      </c>
      <c r="L76" s="67" t="str">
        <f t="shared" si="11"/>
        <v xml:space="preserve"> </v>
      </c>
      <c r="M76" s="61"/>
      <c r="N76" s="61"/>
      <c r="O76" s="101"/>
      <c r="P76" s="104"/>
      <c r="Q76" s="102"/>
      <c r="R76" s="127"/>
    </row>
    <row r="77" spans="1:18" ht="14.25" customHeight="1">
      <c r="A77" s="63"/>
      <c r="B77" s="63">
        <v>10</v>
      </c>
      <c r="C77" s="64"/>
      <c r="D77" s="65"/>
      <c r="E77" s="65"/>
      <c r="F77" s="93"/>
      <c r="G77" s="94"/>
      <c r="H77" s="95"/>
      <c r="I77" s="66" t="str">
        <f t="shared" si="8"/>
        <v xml:space="preserve"> </v>
      </c>
      <c r="J77" s="67" t="str">
        <f t="shared" si="9"/>
        <v xml:space="preserve"> </v>
      </c>
      <c r="K77" s="68" t="str">
        <f t="shared" si="10"/>
        <v xml:space="preserve"> </v>
      </c>
      <c r="L77" s="67" t="str">
        <f t="shared" si="11"/>
        <v xml:space="preserve"> </v>
      </c>
      <c r="M77" s="61"/>
      <c r="N77" s="61"/>
    </row>
    <row r="78" spans="1:18" ht="14.25" customHeight="1">
      <c r="A78" s="63"/>
      <c r="B78" s="63">
        <v>11</v>
      </c>
      <c r="C78" s="64"/>
      <c r="D78" s="65"/>
      <c r="E78" s="65"/>
      <c r="F78" s="93"/>
      <c r="G78" s="94"/>
      <c r="H78" s="95"/>
      <c r="I78" s="66" t="str">
        <f t="shared" si="8"/>
        <v xml:space="preserve"> </v>
      </c>
      <c r="J78" s="67" t="str">
        <f t="shared" si="9"/>
        <v xml:space="preserve"> </v>
      </c>
      <c r="K78" s="68" t="str">
        <f t="shared" si="10"/>
        <v xml:space="preserve"> </v>
      </c>
      <c r="L78" s="67" t="str">
        <f t="shared" si="11"/>
        <v xml:space="preserve"> </v>
      </c>
      <c r="M78" s="61"/>
      <c r="N78" s="61"/>
      <c r="O78" s="134" t="s">
        <v>30</v>
      </c>
      <c r="P78" s="107"/>
      <c r="Q78" s="97"/>
    </row>
    <row r="79" spans="1:18" ht="14.25" customHeight="1">
      <c r="A79" s="63"/>
      <c r="B79" s="63">
        <v>12</v>
      </c>
      <c r="C79" s="64"/>
      <c r="D79" s="65"/>
      <c r="E79" s="65"/>
      <c r="F79" s="93"/>
      <c r="G79" s="94"/>
      <c r="H79" s="95"/>
      <c r="I79" s="66" t="str">
        <f t="shared" si="8"/>
        <v xml:space="preserve"> </v>
      </c>
      <c r="J79" s="67" t="str">
        <f t="shared" si="9"/>
        <v xml:space="preserve"> </v>
      </c>
      <c r="K79" s="68" t="str">
        <f t="shared" si="10"/>
        <v xml:space="preserve"> </v>
      </c>
      <c r="L79" s="67" t="str">
        <f t="shared" si="11"/>
        <v xml:space="preserve"> </v>
      </c>
      <c r="M79" s="61"/>
      <c r="N79" s="61"/>
      <c r="O79" s="80" t="s">
        <v>31</v>
      </c>
      <c r="P79" s="135">
        <f>MAX(I68:I92)</f>
        <v>0</v>
      </c>
      <c r="Q79" s="95"/>
    </row>
    <row r="80" spans="1:18" ht="14.25" customHeight="1">
      <c r="A80" s="63"/>
      <c r="B80" s="63">
        <v>13</v>
      </c>
      <c r="C80" s="64"/>
      <c r="D80" s="65"/>
      <c r="E80" s="65"/>
      <c r="F80" s="93"/>
      <c r="G80" s="94"/>
      <c r="H80" s="95"/>
      <c r="I80" s="66" t="str">
        <f t="shared" si="8"/>
        <v xml:space="preserve"> </v>
      </c>
      <c r="J80" s="67" t="str">
        <f t="shared" si="9"/>
        <v xml:space="preserve"> </v>
      </c>
      <c r="K80" s="68" t="str">
        <f t="shared" si="10"/>
        <v xml:space="preserve"> </v>
      </c>
      <c r="L80" s="67" t="str">
        <f t="shared" si="11"/>
        <v xml:space="preserve"> </v>
      </c>
      <c r="M80" s="61"/>
      <c r="N80" s="61"/>
      <c r="O80" s="81" t="s">
        <v>32</v>
      </c>
      <c r="P80" s="123">
        <f>MAX(J68:J92)</f>
        <v>0</v>
      </c>
      <c r="Q80" s="95"/>
    </row>
    <row r="81" spans="1:17" ht="14.25" customHeight="1">
      <c r="A81" s="63"/>
      <c r="B81" s="63">
        <v>14</v>
      </c>
      <c r="C81" s="64"/>
      <c r="D81" s="65"/>
      <c r="E81" s="65"/>
      <c r="F81" s="93"/>
      <c r="G81" s="94"/>
      <c r="H81" s="95"/>
      <c r="I81" s="66" t="str">
        <f t="shared" si="8"/>
        <v xml:space="preserve"> </v>
      </c>
      <c r="J81" s="67" t="str">
        <f t="shared" si="9"/>
        <v xml:space="preserve"> </v>
      </c>
      <c r="K81" s="68" t="str">
        <f t="shared" si="10"/>
        <v xml:space="preserve"> </v>
      </c>
      <c r="L81" s="67" t="str">
        <f t="shared" si="11"/>
        <v xml:space="preserve"> </v>
      </c>
      <c r="M81" s="61"/>
      <c r="N81" s="61"/>
      <c r="O81" s="82" t="s">
        <v>33</v>
      </c>
      <c r="P81" s="120">
        <f>MIN(K68:K92)</f>
        <v>0</v>
      </c>
      <c r="Q81" s="95"/>
    </row>
    <row r="82" spans="1:17" ht="14.25" customHeight="1">
      <c r="A82" s="63"/>
      <c r="B82" s="63">
        <v>15</v>
      </c>
      <c r="C82" s="64"/>
      <c r="D82" s="65"/>
      <c r="E82" s="65"/>
      <c r="F82" s="93"/>
      <c r="G82" s="94"/>
      <c r="H82" s="95"/>
      <c r="I82" s="66" t="str">
        <f t="shared" si="8"/>
        <v xml:space="preserve"> </v>
      </c>
      <c r="J82" s="67" t="str">
        <f t="shared" si="9"/>
        <v xml:space="preserve"> </v>
      </c>
      <c r="K82" s="68" t="str">
        <f t="shared" si="10"/>
        <v xml:space="preserve"> </v>
      </c>
      <c r="L82" s="67" t="str">
        <f t="shared" si="11"/>
        <v xml:space="preserve"> </v>
      </c>
      <c r="M82" s="61"/>
      <c r="N82" s="61"/>
      <c r="O82" s="83" t="s">
        <v>34</v>
      </c>
      <c r="P82" s="121">
        <f>MIN(L68:L92)</f>
        <v>0</v>
      </c>
      <c r="Q82" s="122"/>
    </row>
    <row r="83" spans="1:17" ht="14.25" customHeight="1">
      <c r="A83" s="63"/>
      <c r="B83" s="63">
        <v>16</v>
      </c>
      <c r="C83" s="64"/>
      <c r="D83" s="65"/>
      <c r="E83" s="65"/>
      <c r="F83" s="93"/>
      <c r="G83" s="94"/>
      <c r="H83" s="95"/>
      <c r="I83" s="66" t="str">
        <f t="shared" si="8"/>
        <v xml:space="preserve"> </v>
      </c>
      <c r="J83" s="67" t="str">
        <f t="shared" si="9"/>
        <v xml:space="preserve"> </v>
      </c>
      <c r="K83" s="68" t="str">
        <f t="shared" si="10"/>
        <v xml:space="preserve"> </v>
      </c>
      <c r="L83" s="67" t="str">
        <f t="shared" si="11"/>
        <v xml:space="preserve"> </v>
      </c>
      <c r="M83" s="61"/>
      <c r="N83" s="61"/>
      <c r="O83" s="61"/>
    </row>
    <row r="84" spans="1:17" ht="14.25" customHeight="1">
      <c r="A84" s="63"/>
      <c r="B84" s="63">
        <v>17</v>
      </c>
      <c r="C84" s="64"/>
      <c r="D84" s="65"/>
      <c r="E84" s="65"/>
      <c r="F84" s="93"/>
      <c r="G84" s="94"/>
      <c r="H84" s="95"/>
      <c r="I84" s="66" t="str">
        <f t="shared" si="8"/>
        <v xml:space="preserve"> </v>
      </c>
      <c r="J84" s="67" t="str">
        <f t="shared" si="9"/>
        <v xml:space="preserve"> </v>
      </c>
      <c r="K84" s="68" t="str">
        <f t="shared" si="10"/>
        <v xml:space="preserve"> </v>
      </c>
      <c r="L84" s="67" t="str">
        <f t="shared" si="11"/>
        <v xml:space="preserve"> </v>
      </c>
      <c r="M84" s="61"/>
      <c r="N84" s="61"/>
      <c r="O84" s="61"/>
    </row>
    <row r="85" spans="1:17" ht="14.25" customHeight="1">
      <c r="A85" s="63"/>
      <c r="B85" s="63">
        <v>18</v>
      </c>
      <c r="C85" s="64"/>
      <c r="D85" s="65"/>
      <c r="E85" s="65"/>
      <c r="F85" s="93"/>
      <c r="G85" s="94"/>
      <c r="H85" s="95"/>
      <c r="I85" s="66" t="str">
        <f t="shared" si="8"/>
        <v xml:space="preserve"> </v>
      </c>
      <c r="J85" s="67" t="str">
        <f t="shared" si="9"/>
        <v xml:space="preserve"> </v>
      </c>
      <c r="K85" s="68" t="str">
        <f t="shared" si="10"/>
        <v xml:space="preserve"> </v>
      </c>
      <c r="L85" s="67" t="str">
        <f t="shared" si="11"/>
        <v xml:space="preserve"> </v>
      </c>
      <c r="M85" s="61"/>
      <c r="N85" s="61"/>
      <c r="O85" s="61"/>
    </row>
    <row r="86" spans="1:17" ht="14.25" customHeight="1">
      <c r="A86" s="63"/>
      <c r="B86" s="63">
        <v>19</v>
      </c>
      <c r="C86" s="64"/>
      <c r="D86" s="65"/>
      <c r="E86" s="65"/>
      <c r="F86" s="93"/>
      <c r="G86" s="94"/>
      <c r="H86" s="95"/>
      <c r="I86" s="66" t="str">
        <f t="shared" si="8"/>
        <v xml:space="preserve"> </v>
      </c>
      <c r="J86" s="67" t="str">
        <f t="shared" si="9"/>
        <v xml:space="preserve"> </v>
      </c>
      <c r="K86" s="68" t="str">
        <f t="shared" si="10"/>
        <v xml:space="preserve"> </v>
      </c>
      <c r="L86" s="67" t="str">
        <f t="shared" si="11"/>
        <v xml:space="preserve"> </v>
      </c>
      <c r="M86" s="61"/>
      <c r="N86" s="61"/>
      <c r="O86" s="61"/>
    </row>
    <row r="87" spans="1:17" ht="14.25" customHeight="1">
      <c r="A87" s="63"/>
      <c r="B87" s="63">
        <v>20</v>
      </c>
      <c r="C87" s="64"/>
      <c r="D87" s="65"/>
      <c r="E87" s="65"/>
      <c r="F87" s="93"/>
      <c r="G87" s="94"/>
      <c r="H87" s="95"/>
      <c r="I87" s="66" t="str">
        <f t="shared" si="8"/>
        <v xml:space="preserve"> </v>
      </c>
      <c r="J87" s="67" t="str">
        <f t="shared" si="9"/>
        <v xml:space="preserve"> </v>
      </c>
      <c r="K87" s="68" t="str">
        <f t="shared" si="10"/>
        <v xml:space="preserve"> </v>
      </c>
      <c r="L87" s="67" t="str">
        <f t="shared" si="11"/>
        <v xml:space="preserve"> </v>
      </c>
      <c r="M87" s="61"/>
      <c r="N87" s="61"/>
      <c r="O87" s="61"/>
    </row>
    <row r="88" spans="1:17" ht="14.25" customHeight="1">
      <c r="A88" s="63"/>
      <c r="B88" s="63">
        <v>21</v>
      </c>
      <c r="C88" s="64"/>
      <c r="D88" s="65"/>
      <c r="E88" s="65"/>
      <c r="F88" s="93"/>
      <c r="G88" s="94"/>
      <c r="H88" s="95"/>
      <c r="I88" s="66" t="str">
        <f t="shared" si="8"/>
        <v xml:space="preserve"> </v>
      </c>
      <c r="J88" s="67" t="str">
        <f t="shared" si="9"/>
        <v xml:space="preserve"> </v>
      </c>
      <c r="K88" s="68" t="str">
        <f t="shared" si="10"/>
        <v xml:space="preserve"> </v>
      </c>
      <c r="L88" s="67" t="str">
        <f t="shared" si="11"/>
        <v xml:space="preserve"> </v>
      </c>
      <c r="M88" s="61"/>
      <c r="N88" s="61"/>
      <c r="O88" s="61"/>
    </row>
    <row r="89" spans="1:17" ht="14.25" customHeight="1">
      <c r="A89" s="63"/>
      <c r="B89" s="63">
        <v>22</v>
      </c>
      <c r="C89" s="64"/>
      <c r="D89" s="65"/>
      <c r="E89" s="65"/>
      <c r="F89" s="93"/>
      <c r="G89" s="94"/>
      <c r="H89" s="95"/>
      <c r="I89" s="66" t="str">
        <f t="shared" si="8"/>
        <v xml:space="preserve"> </v>
      </c>
      <c r="J89" s="67" t="str">
        <f t="shared" si="9"/>
        <v xml:space="preserve"> </v>
      </c>
      <c r="K89" s="68" t="str">
        <f t="shared" si="10"/>
        <v xml:space="preserve"> </v>
      </c>
      <c r="L89" s="67" t="str">
        <f t="shared" si="11"/>
        <v xml:space="preserve"> </v>
      </c>
      <c r="M89" s="61"/>
      <c r="N89" s="61"/>
      <c r="O89" s="61"/>
    </row>
    <row r="90" spans="1:17" ht="14.25" customHeight="1">
      <c r="A90" s="63"/>
      <c r="B90" s="63">
        <v>23</v>
      </c>
      <c r="C90" s="64"/>
      <c r="D90" s="65"/>
      <c r="E90" s="65"/>
      <c r="F90" s="93"/>
      <c r="G90" s="94"/>
      <c r="H90" s="95"/>
      <c r="I90" s="66" t="str">
        <f t="shared" si="8"/>
        <v xml:space="preserve"> </v>
      </c>
      <c r="J90" s="67" t="str">
        <f t="shared" si="9"/>
        <v xml:space="preserve"> </v>
      </c>
      <c r="K90" s="68" t="str">
        <f t="shared" si="10"/>
        <v xml:space="preserve"> </v>
      </c>
      <c r="L90" s="67" t="str">
        <f t="shared" si="11"/>
        <v xml:space="preserve"> </v>
      </c>
      <c r="M90" s="61"/>
      <c r="N90" s="61"/>
      <c r="O90" s="61"/>
    </row>
    <row r="91" spans="1:17" ht="14.25" customHeight="1">
      <c r="A91" s="63"/>
      <c r="B91" s="63">
        <v>24</v>
      </c>
      <c r="C91" s="64"/>
      <c r="D91" s="65"/>
      <c r="E91" s="65"/>
      <c r="F91" s="93"/>
      <c r="G91" s="94"/>
      <c r="H91" s="95"/>
      <c r="I91" s="66" t="str">
        <f t="shared" si="8"/>
        <v xml:space="preserve"> </v>
      </c>
      <c r="J91" s="67" t="str">
        <f t="shared" si="9"/>
        <v xml:space="preserve"> </v>
      </c>
      <c r="K91" s="68" t="str">
        <f t="shared" si="10"/>
        <v xml:space="preserve"> </v>
      </c>
      <c r="L91" s="67" t="str">
        <f t="shared" si="11"/>
        <v xml:space="preserve"> </v>
      </c>
      <c r="M91" s="61"/>
      <c r="N91" s="61"/>
      <c r="O91" s="61"/>
    </row>
    <row r="92" spans="1:17" ht="14.25" customHeight="1">
      <c r="A92" s="63"/>
      <c r="B92" s="63">
        <v>25</v>
      </c>
      <c r="C92" s="87"/>
      <c r="D92" s="65"/>
      <c r="E92" s="65"/>
      <c r="F92" s="93"/>
      <c r="G92" s="94"/>
      <c r="H92" s="95"/>
      <c r="I92" s="66" t="str">
        <f t="shared" si="8"/>
        <v xml:space="preserve"> </v>
      </c>
      <c r="J92" s="67" t="str">
        <f t="shared" si="9"/>
        <v xml:space="preserve"> </v>
      </c>
      <c r="K92" s="68" t="str">
        <f t="shared" si="10"/>
        <v xml:space="preserve"> </v>
      </c>
      <c r="L92" s="67" t="str">
        <f t="shared" si="11"/>
        <v xml:space="preserve"> </v>
      </c>
      <c r="M92" s="61"/>
      <c r="N92" s="61"/>
      <c r="O92" s="61"/>
    </row>
    <row r="93" spans="1:17" ht="14.25" customHeight="1">
      <c r="A93" s="99" t="s">
        <v>35</v>
      </c>
      <c r="B93" s="84">
        <f>COUNT(I68:I92)</f>
        <v>0</v>
      </c>
      <c r="C93" s="84">
        <f>COUNT(K68:K92)</f>
        <v>0</v>
      </c>
      <c r="D93" s="84">
        <f>SUM(E68:E92)*2</f>
        <v>0</v>
      </c>
      <c r="E93" s="84"/>
      <c r="F93" s="84"/>
      <c r="G93" s="84"/>
      <c r="H93" s="84"/>
      <c r="I93" s="96" t="s">
        <v>36</v>
      </c>
      <c r="J93" s="97"/>
      <c r="K93" s="98" t="s">
        <v>37</v>
      </c>
      <c r="L93" s="97"/>
      <c r="M93" s="61"/>
      <c r="N93" s="61"/>
      <c r="O93" s="61"/>
    </row>
    <row r="94" spans="1:17" ht="14.25" customHeight="1">
      <c r="A94" s="105"/>
      <c r="B94" s="85"/>
      <c r="C94" s="85"/>
      <c r="D94" s="85"/>
      <c r="E94" s="85"/>
      <c r="F94" s="85"/>
      <c r="G94" s="85"/>
      <c r="H94" s="85"/>
      <c r="I94" s="99">
        <f>I62</f>
        <v>15</v>
      </c>
      <c r="J94" s="100"/>
      <c r="K94" s="103">
        <f>I94*D93*1.07</f>
        <v>0</v>
      </c>
      <c r="L94" s="100"/>
    </row>
    <row r="95" spans="1:17" ht="15.75" customHeight="1">
      <c r="A95" s="101"/>
      <c r="B95" s="86"/>
      <c r="C95" s="86"/>
      <c r="D95" s="86"/>
      <c r="E95" s="86"/>
      <c r="F95" s="86"/>
      <c r="G95" s="86"/>
      <c r="H95" s="86"/>
      <c r="I95" s="101"/>
      <c r="J95" s="102"/>
      <c r="K95" s="104"/>
      <c r="L95" s="102"/>
    </row>
    <row r="96" spans="1:17" ht="14.25" customHeight="1"/>
    <row r="97" spans="1:18" ht="14.25" customHeight="1"/>
    <row r="98" spans="1:18" ht="14.25" customHeight="1">
      <c r="A98" s="106" t="s">
        <v>2</v>
      </c>
      <c r="B98" s="107"/>
      <c r="C98" s="107"/>
      <c r="D98" s="107"/>
      <c r="E98" s="97"/>
      <c r="F98" s="106" t="s">
        <v>3</v>
      </c>
      <c r="G98" s="107"/>
      <c r="H98" s="97"/>
      <c r="I98" s="108" t="s">
        <v>4</v>
      </c>
      <c r="J98" s="109"/>
      <c r="K98" s="110" t="s">
        <v>5</v>
      </c>
      <c r="L98" s="109"/>
      <c r="O98" s="111" t="s">
        <v>7</v>
      </c>
      <c r="P98" s="107"/>
      <c r="Q98" s="107"/>
      <c r="R98" s="97"/>
    </row>
    <row r="99" spans="1:18" ht="14.25" customHeight="1">
      <c r="A99" s="55" t="s">
        <v>8</v>
      </c>
      <c r="B99" s="55" t="s">
        <v>9</v>
      </c>
      <c r="C99" s="55" t="s">
        <v>10</v>
      </c>
      <c r="D99" s="56" t="s">
        <v>11</v>
      </c>
      <c r="E99" s="57" t="s">
        <v>12</v>
      </c>
      <c r="F99" s="117" t="s">
        <v>11</v>
      </c>
      <c r="G99" s="104"/>
      <c r="H99" s="102"/>
      <c r="I99" s="58" t="s">
        <v>13</v>
      </c>
      <c r="J99" s="59" t="s">
        <v>14</v>
      </c>
      <c r="K99" s="60" t="s">
        <v>13</v>
      </c>
      <c r="L99" s="59" t="s">
        <v>14</v>
      </c>
      <c r="M99" s="61"/>
      <c r="N99" s="61"/>
      <c r="O99" s="112" t="s">
        <v>15</v>
      </c>
      <c r="P99" s="113"/>
      <c r="Q99" s="113"/>
      <c r="R99" s="114"/>
    </row>
    <row r="100" spans="1:18" ht="14.25" customHeight="1">
      <c r="A100" s="62">
        <v>42370</v>
      </c>
      <c r="B100" s="63">
        <v>1</v>
      </c>
      <c r="C100" s="64"/>
      <c r="D100" s="65"/>
      <c r="E100" s="65"/>
      <c r="F100" s="118"/>
      <c r="G100" s="119"/>
      <c r="H100" s="109"/>
      <c r="I100" s="66" t="str">
        <f t="shared" ref="I100:I124" si="12">IF(C100="L",IF(F100-D100&gt;0,F100-D100," "),IF(D100-F100&gt;0,D100-F100," "))</f>
        <v xml:space="preserve"> </v>
      </c>
      <c r="J100" s="67" t="str">
        <f t="shared" ref="J100:J124" si="13">IF(C100="L",IF(F100-D100&gt;0,(F100-D100)*200*E100," "),IF(D100-F100&gt;0,(D100-F100)*200*E100," "))</f>
        <v xml:space="preserve"> </v>
      </c>
      <c r="K100" s="68" t="str">
        <f t="shared" ref="K100:K124" si="14">IF(C100="L",IF(F100-D100&lt;0,F100-D100," "),IF(D100-F100&lt;0,D100-F100," "))</f>
        <v xml:space="preserve"> </v>
      </c>
      <c r="L100" s="67" t="str">
        <f t="shared" ref="L100:L124" si="15">IF(C100="L",IF(F100-D100&lt;0,(F100-D100)*200*E100," "),IF(D100-F100&lt;0,(D100-F100)*200*E100," "))</f>
        <v xml:space="preserve"> </v>
      </c>
      <c r="M100" s="61"/>
      <c r="N100" s="61"/>
      <c r="O100" s="22" t="s">
        <v>19</v>
      </c>
      <c r="P100" s="23">
        <f>B125+C125</f>
        <v>0</v>
      </c>
      <c r="Q100" s="115"/>
      <c r="R100" s="116"/>
    </row>
    <row r="101" spans="1:18" ht="14.25" customHeight="1">
      <c r="A101" s="63"/>
      <c r="B101" s="63">
        <v>2</v>
      </c>
      <c r="C101" s="64"/>
      <c r="D101" s="65"/>
      <c r="E101" s="65"/>
      <c r="F101" s="93"/>
      <c r="G101" s="94"/>
      <c r="H101" s="95"/>
      <c r="I101" s="66" t="str">
        <f t="shared" si="12"/>
        <v xml:space="preserve"> </v>
      </c>
      <c r="J101" s="67" t="str">
        <f t="shared" si="13"/>
        <v xml:space="preserve"> </v>
      </c>
      <c r="K101" s="68" t="str">
        <f t="shared" si="14"/>
        <v xml:space="preserve"> </v>
      </c>
      <c r="L101" s="67" t="str">
        <f t="shared" si="15"/>
        <v xml:space="preserve"> </v>
      </c>
      <c r="M101" s="61"/>
      <c r="N101" s="61"/>
      <c r="O101" s="70" t="s">
        <v>20</v>
      </c>
      <c r="P101" s="71" t="e">
        <f>B125/P100*100</f>
        <v>#DIV/0!</v>
      </c>
      <c r="Q101" s="72" t="s">
        <v>21</v>
      </c>
      <c r="R101" s="73" t="e">
        <f>C125/P100*100</f>
        <v>#DIV/0!</v>
      </c>
    </row>
    <row r="102" spans="1:18" ht="14.25" customHeight="1">
      <c r="A102" s="63"/>
      <c r="B102" s="63">
        <v>3</v>
      </c>
      <c r="C102" s="64"/>
      <c r="D102" s="65"/>
      <c r="E102" s="65"/>
      <c r="F102" s="93"/>
      <c r="G102" s="94"/>
      <c r="H102" s="95"/>
      <c r="I102" s="66" t="str">
        <f t="shared" si="12"/>
        <v xml:space="preserve"> </v>
      </c>
      <c r="J102" s="67" t="str">
        <f t="shared" si="13"/>
        <v xml:space="preserve"> </v>
      </c>
      <c r="K102" s="68" t="str">
        <f t="shared" si="14"/>
        <v xml:space="preserve"> </v>
      </c>
      <c r="L102" s="67" t="str">
        <f t="shared" si="15"/>
        <v xml:space="preserve"> </v>
      </c>
      <c r="M102" s="61"/>
      <c r="N102" s="61"/>
      <c r="O102" s="70" t="s">
        <v>22</v>
      </c>
      <c r="P102" s="74" t="e">
        <f>SUM(I100:I124)/B125</f>
        <v>#DIV/0!</v>
      </c>
      <c r="Q102" s="72" t="s">
        <v>23</v>
      </c>
      <c r="R102" s="75" t="e">
        <f>SUM(K100:K124)/C125</f>
        <v>#DIV/0!</v>
      </c>
    </row>
    <row r="103" spans="1:18" ht="14.25" customHeight="1">
      <c r="A103" s="63"/>
      <c r="B103" s="63">
        <v>4</v>
      </c>
      <c r="C103" s="64"/>
      <c r="D103" s="65"/>
      <c r="E103" s="65"/>
      <c r="F103" s="93"/>
      <c r="G103" s="94"/>
      <c r="H103" s="95"/>
      <c r="I103" s="66" t="str">
        <f t="shared" si="12"/>
        <v xml:space="preserve"> </v>
      </c>
      <c r="J103" s="67" t="str">
        <f t="shared" si="13"/>
        <v xml:space="preserve"> </v>
      </c>
      <c r="K103" s="68" t="str">
        <f t="shared" si="14"/>
        <v xml:space="preserve"> </v>
      </c>
      <c r="L103" s="67" t="str">
        <f t="shared" si="15"/>
        <v xml:space="preserve"> </v>
      </c>
      <c r="M103" s="61"/>
      <c r="N103" s="61"/>
      <c r="O103" s="76" t="s">
        <v>24</v>
      </c>
      <c r="P103" s="77">
        <f>SUM(J100:J124)</f>
        <v>0</v>
      </c>
      <c r="Q103" s="78" t="s">
        <v>25</v>
      </c>
      <c r="R103" s="79">
        <f>SUM(L100:L124)</f>
        <v>0</v>
      </c>
    </row>
    <row r="104" spans="1:18" ht="14.25" customHeight="1">
      <c r="A104" s="63"/>
      <c r="B104" s="63">
        <v>5</v>
      </c>
      <c r="C104" s="64"/>
      <c r="D104" s="65"/>
      <c r="E104" s="65"/>
      <c r="F104" s="93"/>
      <c r="G104" s="94"/>
      <c r="H104" s="95"/>
      <c r="I104" s="66" t="str">
        <f t="shared" si="12"/>
        <v xml:space="preserve"> </v>
      </c>
      <c r="J104" s="67" t="str">
        <f t="shared" si="13"/>
        <v xml:space="preserve"> </v>
      </c>
      <c r="K104" s="68" t="str">
        <f t="shared" si="14"/>
        <v xml:space="preserve"> </v>
      </c>
      <c r="L104" s="67" t="str">
        <f t="shared" si="15"/>
        <v xml:space="preserve"> </v>
      </c>
      <c r="M104" s="61"/>
      <c r="N104" s="61"/>
      <c r="O104" s="128" t="s">
        <v>26</v>
      </c>
      <c r="P104" s="119"/>
      <c r="Q104" s="119"/>
      <c r="R104" s="109"/>
    </row>
    <row r="105" spans="1:18" ht="14.25" customHeight="1">
      <c r="A105" s="63"/>
      <c r="B105" s="63">
        <v>6</v>
      </c>
      <c r="C105" s="64"/>
      <c r="D105" s="65"/>
      <c r="E105" s="65"/>
      <c r="F105" s="93"/>
      <c r="G105" s="94"/>
      <c r="H105" s="95"/>
      <c r="I105" s="66" t="str">
        <f t="shared" si="12"/>
        <v xml:space="preserve"> </v>
      </c>
      <c r="J105" s="67" t="str">
        <f t="shared" si="13"/>
        <v xml:space="preserve"> </v>
      </c>
      <c r="K105" s="68" t="str">
        <f t="shared" si="14"/>
        <v xml:space="preserve"> </v>
      </c>
      <c r="L105" s="67" t="str">
        <f t="shared" si="15"/>
        <v xml:space="preserve"> </v>
      </c>
      <c r="M105" s="61"/>
      <c r="N105" s="61"/>
      <c r="O105" s="129" t="s">
        <v>27</v>
      </c>
      <c r="P105" s="131">
        <f>P103+R103-K126</f>
        <v>0</v>
      </c>
      <c r="Q105" s="129" t="s">
        <v>28</v>
      </c>
      <c r="R105" s="133" t="e">
        <f>K126/P105</f>
        <v>#DIV/0!</v>
      </c>
    </row>
    <row r="106" spans="1:18" ht="14.25" customHeight="1">
      <c r="A106" s="63"/>
      <c r="B106" s="63">
        <v>7</v>
      </c>
      <c r="C106" s="64"/>
      <c r="D106" s="65"/>
      <c r="E106" s="65"/>
      <c r="F106" s="93"/>
      <c r="G106" s="94"/>
      <c r="H106" s="95"/>
      <c r="I106" s="66" t="str">
        <f t="shared" si="12"/>
        <v xml:space="preserve"> </v>
      </c>
      <c r="J106" s="67" t="str">
        <f t="shared" si="13"/>
        <v xml:space="preserve"> </v>
      </c>
      <c r="K106" s="68" t="str">
        <f t="shared" si="14"/>
        <v xml:space="preserve"> </v>
      </c>
      <c r="L106" s="67" t="str">
        <f t="shared" si="15"/>
        <v xml:space="preserve"> </v>
      </c>
      <c r="M106" s="61"/>
      <c r="N106" s="61"/>
      <c r="O106" s="130"/>
      <c r="P106" s="132"/>
      <c r="Q106" s="130"/>
      <c r="R106" s="132"/>
    </row>
    <row r="107" spans="1:18" ht="14.25" customHeight="1">
      <c r="A107" s="63"/>
      <c r="B107" s="63">
        <v>8</v>
      </c>
      <c r="C107" s="64"/>
      <c r="D107" s="65"/>
      <c r="E107" s="65"/>
      <c r="F107" s="93"/>
      <c r="G107" s="94"/>
      <c r="H107" s="95"/>
      <c r="I107" s="66" t="str">
        <f t="shared" si="12"/>
        <v xml:space="preserve"> </v>
      </c>
      <c r="J107" s="67" t="str">
        <f t="shared" si="13"/>
        <v xml:space="preserve"> </v>
      </c>
      <c r="K107" s="68" t="str">
        <f t="shared" si="14"/>
        <v xml:space="preserve"> </v>
      </c>
      <c r="L107" s="67" t="str">
        <f t="shared" si="15"/>
        <v xml:space="preserve"> </v>
      </c>
      <c r="M107" s="61"/>
      <c r="N107" s="61"/>
      <c r="O107" s="124" t="s">
        <v>29</v>
      </c>
      <c r="P107" s="125"/>
      <c r="Q107" s="100"/>
      <c r="R107" s="126" t="e">
        <f>IF(R103&lt;0,((P101*P102/100)+(R101*R102/100)),P102)</f>
        <v>#DIV/0!</v>
      </c>
    </row>
    <row r="108" spans="1:18" ht="14.25" customHeight="1">
      <c r="A108" s="63"/>
      <c r="B108" s="63">
        <v>9</v>
      </c>
      <c r="C108" s="64"/>
      <c r="D108" s="65"/>
      <c r="E108" s="65"/>
      <c r="F108" s="93"/>
      <c r="G108" s="94"/>
      <c r="H108" s="95"/>
      <c r="I108" s="66" t="str">
        <f t="shared" si="12"/>
        <v xml:space="preserve"> </v>
      </c>
      <c r="J108" s="67" t="str">
        <f t="shared" si="13"/>
        <v xml:space="preserve"> </v>
      </c>
      <c r="K108" s="68" t="str">
        <f t="shared" si="14"/>
        <v xml:space="preserve"> </v>
      </c>
      <c r="L108" s="67" t="str">
        <f t="shared" si="15"/>
        <v xml:space="preserve"> </v>
      </c>
      <c r="M108" s="61"/>
      <c r="N108" s="61"/>
      <c r="O108" s="101"/>
      <c r="P108" s="104"/>
      <c r="Q108" s="102"/>
      <c r="R108" s="127"/>
    </row>
    <row r="109" spans="1:18" ht="14.25" customHeight="1">
      <c r="A109" s="63"/>
      <c r="B109" s="63">
        <v>10</v>
      </c>
      <c r="C109" s="64"/>
      <c r="D109" s="65"/>
      <c r="E109" s="65"/>
      <c r="F109" s="93"/>
      <c r="G109" s="94"/>
      <c r="H109" s="95"/>
      <c r="I109" s="66" t="str">
        <f t="shared" si="12"/>
        <v xml:space="preserve"> </v>
      </c>
      <c r="J109" s="67" t="str">
        <f t="shared" si="13"/>
        <v xml:space="preserve"> </v>
      </c>
      <c r="K109" s="68" t="str">
        <f t="shared" si="14"/>
        <v xml:space="preserve"> </v>
      </c>
      <c r="L109" s="67" t="str">
        <f t="shared" si="15"/>
        <v xml:space="preserve"> </v>
      </c>
      <c r="M109" s="61"/>
      <c r="N109" s="61"/>
    </row>
    <row r="110" spans="1:18" ht="14.25" customHeight="1">
      <c r="A110" s="63"/>
      <c r="B110" s="63">
        <v>11</v>
      </c>
      <c r="C110" s="64"/>
      <c r="D110" s="65"/>
      <c r="E110" s="65"/>
      <c r="F110" s="93"/>
      <c r="G110" s="94"/>
      <c r="H110" s="95"/>
      <c r="I110" s="66" t="str">
        <f t="shared" si="12"/>
        <v xml:space="preserve"> </v>
      </c>
      <c r="J110" s="67" t="str">
        <f t="shared" si="13"/>
        <v xml:space="preserve"> </v>
      </c>
      <c r="K110" s="68" t="str">
        <f t="shared" si="14"/>
        <v xml:space="preserve"> </v>
      </c>
      <c r="L110" s="67" t="str">
        <f t="shared" si="15"/>
        <v xml:space="preserve"> </v>
      </c>
      <c r="M110" s="61"/>
      <c r="N110" s="61"/>
      <c r="O110" s="134" t="s">
        <v>30</v>
      </c>
      <c r="P110" s="107"/>
      <c r="Q110" s="97"/>
    </row>
    <row r="111" spans="1:18" ht="14.25" customHeight="1">
      <c r="A111" s="63"/>
      <c r="B111" s="63">
        <v>12</v>
      </c>
      <c r="C111" s="64"/>
      <c r="D111" s="65"/>
      <c r="E111" s="65"/>
      <c r="F111" s="93"/>
      <c r="G111" s="94"/>
      <c r="H111" s="95"/>
      <c r="I111" s="66" t="str">
        <f t="shared" si="12"/>
        <v xml:space="preserve"> </v>
      </c>
      <c r="J111" s="67" t="str">
        <f t="shared" si="13"/>
        <v xml:space="preserve"> </v>
      </c>
      <c r="K111" s="68" t="str">
        <f t="shared" si="14"/>
        <v xml:space="preserve"> </v>
      </c>
      <c r="L111" s="67" t="str">
        <f t="shared" si="15"/>
        <v xml:space="preserve"> </v>
      </c>
      <c r="M111" s="61"/>
      <c r="N111" s="61"/>
      <c r="O111" s="80" t="s">
        <v>31</v>
      </c>
      <c r="P111" s="135">
        <f>MAX(I100:I124)</f>
        <v>0</v>
      </c>
      <c r="Q111" s="95"/>
    </row>
    <row r="112" spans="1:18" ht="14.25" customHeight="1">
      <c r="A112" s="63"/>
      <c r="B112" s="63">
        <v>13</v>
      </c>
      <c r="C112" s="64"/>
      <c r="D112" s="65"/>
      <c r="E112" s="65"/>
      <c r="F112" s="93"/>
      <c r="G112" s="94"/>
      <c r="H112" s="95"/>
      <c r="I112" s="66" t="str">
        <f t="shared" si="12"/>
        <v xml:space="preserve"> </v>
      </c>
      <c r="J112" s="67" t="str">
        <f t="shared" si="13"/>
        <v xml:space="preserve"> </v>
      </c>
      <c r="K112" s="68" t="str">
        <f t="shared" si="14"/>
        <v xml:space="preserve"> </v>
      </c>
      <c r="L112" s="67" t="str">
        <f t="shared" si="15"/>
        <v xml:space="preserve"> </v>
      </c>
      <c r="M112" s="61"/>
      <c r="N112" s="61"/>
      <c r="O112" s="81" t="s">
        <v>32</v>
      </c>
      <c r="P112" s="123">
        <f>MAX(J100:J124)</f>
        <v>0</v>
      </c>
      <c r="Q112" s="95"/>
    </row>
    <row r="113" spans="1:17" ht="14.25" customHeight="1">
      <c r="A113" s="63"/>
      <c r="B113" s="63">
        <v>14</v>
      </c>
      <c r="C113" s="64"/>
      <c r="D113" s="65"/>
      <c r="E113" s="65"/>
      <c r="F113" s="93"/>
      <c r="G113" s="94"/>
      <c r="H113" s="95"/>
      <c r="I113" s="66" t="str">
        <f t="shared" si="12"/>
        <v xml:space="preserve"> </v>
      </c>
      <c r="J113" s="67" t="str">
        <f t="shared" si="13"/>
        <v xml:space="preserve"> </v>
      </c>
      <c r="K113" s="68" t="str">
        <f t="shared" si="14"/>
        <v xml:space="preserve"> </v>
      </c>
      <c r="L113" s="67" t="str">
        <f t="shared" si="15"/>
        <v xml:space="preserve"> </v>
      </c>
      <c r="M113" s="61"/>
      <c r="N113" s="61"/>
      <c r="O113" s="82" t="s">
        <v>33</v>
      </c>
      <c r="P113" s="120">
        <f>MIN(K100:K124)</f>
        <v>0</v>
      </c>
      <c r="Q113" s="95"/>
    </row>
    <row r="114" spans="1:17" ht="14.25" customHeight="1">
      <c r="A114" s="63"/>
      <c r="B114" s="63">
        <v>15</v>
      </c>
      <c r="C114" s="64"/>
      <c r="D114" s="65"/>
      <c r="E114" s="65"/>
      <c r="F114" s="93"/>
      <c r="G114" s="94"/>
      <c r="H114" s="95"/>
      <c r="I114" s="66" t="str">
        <f t="shared" si="12"/>
        <v xml:space="preserve"> </v>
      </c>
      <c r="J114" s="67" t="str">
        <f t="shared" si="13"/>
        <v xml:space="preserve"> </v>
      </c>
      <c r="K114" s="68" t="str">
        <f t="shared" si="14"/>
        <v xml:space="preserve"> </v>
      </c>
      <c r="L114" s="67" t="str">
        <f t="shared" si="15"/>
        <v xml:space="preserve"> </v>
      </c>
      <c r="M114" s="61"/>
      <c r="N114" s="61"/>
      <c r="O114" s="83" t="s">
        <v>34</v>
      </c>
      <c r="P114" s="121">
        <f>MIN(L100:L124)</f>
        <v>0</v>
      </c>
      <c r="Q114" s="122"/>
    </row>
    <row r="115" spans="1:17" ht="14.25" customHeight="1">
      <c r="A115" s="63"/>
      <c r="B115" s="63">
        <v>16</v>
      </c>
      <c r="C115" s="64"/>
      <c r="D115" s="65"/>
      <c r="E115" s="65"/>
      <c r="F115" s="93"/>
      <c r="G115" s="94"/>
      <c r="H115" s="95"/>
      <c r="I115" s="66" t="str">
        <f t="shared" si="12"/>
        <v xml:space="preserve"> </v>
      </c>
      <c r="J115" s="67" t="str">
        <f t="shared" si="13"/>
        <v xml:space="preserve"> </v>
      </c>
      <c r="K115" s="68" t="str">
        <f t="shared" si="14"/>
        <v xml:space="preserve"> </v>
      </c>
      <c r="L115" s="67" t="str">
        <f t="shared" si="15"/>
        <v xml:space="preserve"> </v>
      </c>
      <c r="M115" s="61"/>
      <c r="N115" s="61"/>
      <c r="O115" s="61"/>
    </row>
    <row r="116" spans="1:17" ht="14.25" customHeight="1">
      <c r="A116" s="63"/>
      <c r="B116" s="63">
        <v>17</v>
      </c>
      <c r="C116" s="64"/>
      <c r="D116" s="65"/>
      <c r="E116" s="65"/>
      <c r="F116" s="93"/>
      <c r="G116" s="94"/>
      <c r="H116" s="95"/>
      <c r="I116" s="66" t="str">
        <f t="shared" si="12"/>
        <v xml:space="preserve"> </v>
      </c>
      <c r="J116" s="67" t="str">
        <f t="shared" si="13"/>
        <v xml:space="preserve"> </v>
      </c>
      <c r="K116" s="68" t="str">
        <f t="shared" si="14"/>
        <v xml:space="preserve"> </v>
      </c>
      <c r="L116" s="67" t="str">
        <f t="shared" si="15"/>
        <v xml:space="preserve"> </v>
      </c>
      <c r="M116" s="61"/>
      <c r="N116" s="61"/>
      <c r="O116" s="61"/>
    </row>
    <row r="117" spans="1:17" ht="14.25" customHeight="1">
      <c r="A117" s="63"/>
      <c r="B117" s="63">
        <v>18</v>
      </c>
      <c r="C117" s="64"/>
      <c r="D117" s="65"/>
      <c r="E117" s="65"/>
      <c r="F117" s="93"/>
      <c r="G117" s="94"/>
      <c r="H117" s="95"/>
      <c r="I117" s="66" t="str">
        <f t="shared" si="12"/>
        <v xml:space="preserve"> </v>
      </c>
      <c r="J117" s="67" t="str">
        <f t="shared" si="13"/>
        <v xml:space="preserve"> </v>
      </c>
      <c r="K117" s="68" t="str">
        <f t="shared" si="14"/>
        <v xml:space="preserve"> </v>
      </c>
      <c r="L117" s="67" t="str">
        <f t="shared" si="15"/>
        <v xml:space="preserve"> </v>
      </c>
      <c r="M117" s="61"/>
      <c r="N117" s="61"/>
      <c r="O117" s="61"/>
    </row>
    <row r="118" spans="1:17" ht="14.25" customHeight="1">
      <c r="A118" s="63"/>
      <c r="B118" s="63">
        <v>19</v>
      </c>
      <c r="C118" s="64"/>
      <c r="D118" s="65"/>
      <c r="E118" s="65"/>
      <c r="F118" s="93"/>
      <c r="G118" s="94"/>
      <c r="H118" s="95"/>
      <c r="I118" s="66" t="str">
        <f t="shared" si="12"/>
        <v xml:space="preserve"> </v>
      </c>
      <c r="J118" s="67" t="str">
        <f t="shared" si="13"/>
        <v xml:space="preserve"> </v>
      </c>
      <c r="K118" s="68" t="str">
        <f t="shared" si="14"/>
        <v xml:space="preserve"> </v>
      </c>
      <c r="L118" s="67" t="str">
        <f t="shared" si="15"/>
        <v xml:space="preserve"> </v>
      </c>
      <c r="M118" s="61"/>
      <c r="N118" s="61"/>
      <c r="O118" s="61"/>
    </row>
    <row r="119" spans="1:17" ht="14.25" customHeight="1">
      <c r="A119" s="63"/>
      <c r="B119" s="63">
        <v>20</v>
      </c>
      <c r="C119" s="64"/>
      <c r="D119" s="65"/>
      <c r="E119" s="65"/>
      <c r="F119" s="93"/>
      <c r="G119" s="94"/>
      <c r="H119" s="95"/>
      <c r="I119" s="66" t="str">
        <f t="shared" si="12"/>
        <v xml:space="preserve"> </v>
      </c>
      <c r="J119" s="67" t="str">
        <f t="shared" si="13"/>
        <v xml:space="preserve"> </v>
      </c>
      <c r="K119" s="68" t="str">
        <f t="shared" si="14"/>
        <v xml:space="preserve"> </v>
      </c>
      <c r="L119" s="67" t="str">
        <f t="shared" si="15"/>
        <v xml:space="preserve"> </v>
      </c>
      <c r="M119" s="61"/>
      <c r="N119" s="61"/>
      <c r="O119" s="61"/>
    </row>
    <row r="120" spans="1:17" ht="14.25" customHeight="1">
      <c r="A120" s="63"/>
      <c r="B120" s="63">
        <v>21</v>
      </c>
      <c r="C120" s="64"/>
      <c r="D120" s="65"/>
      <c r="E120" s="65"/>
      <c r="F120" s="93"/>
      <c r="G120" s="94"/>
      <c r="H120" s="95"/>
      <c r="I120" s="66" t="str">
        <f t="shared" si="12"/>
        <v xml:space="preserve"> </v>
      </c>
      <c r="J120" s="67" t="str">
        <f t="shared" si="13"/>
        <v xml:space="preserve"> </v>
      </c>
      <c r="K120" s="68" t="str">
        <f t="shared" si="14"/>
        <v xml:space="preserve"> </v>
      </c>
      <c r="L120" s="67" t="str">
        <f t="shared" si="15"/>
        <v xml:space="preserve"> </v>
      </c>
      <c r="M120" s="61"/>
      <c r="N120" s="61"/>
      <c r="O120" s="61"/>
    </row>
    <row r="121" spans="1:17" ht="14.25" customHeight="1">
      <c r="A121" s="63"/>
      <c r="B121" s="63">
        <v>22</v>
      </c>
      <c r="C121" s="64"/>
      <c r="D121" s="65"/>
      <c r="E121" s="65"/>
      <c r="F121" s="93"/>
      <c r="G121" s="94"/>
      <c r="H121" s="95"/>
      <c r="I121" s="66" t="str">
        <f t="shared" si="12"/>
        <v xml:space="preserve"> </v>
      </c>
      <c r="J121" s="67" t="str">
        <f t="shared" si="13"/>
        <v xml:space="preserve"> </v>
      </c>
      <c r="K121" s="68" t="str">
        <f t="shared" si="14"/>
        <v xml:space="preserve"> </v>
      </c>
      <c r="L121" s="67" t="str">
        <f t="shared" si="15"/>
        <v xml:space="preserve"> </v>
      </c>
      <c r="M121" s="61"/>
      <c r="N121" s="61"/>
      <c r="O121" s="61"/>
    </row>
    <row r="122" spans="1:17" ht="14.25" customHeight="1">
      <c r="A122" s="63"/>
      <c r="B122" s="63">
        <v>23</v>
      </c>
      <c r="C122" s="64"/>
      <c r="D122" s="65"/>
      <c r="E122" s="65"/>
      <c r="F122" s="93"/>
      <c r="G122" s="94"/>
      <c r="H122" s="95"/>
      <c r="I122" s="66" t="str">
        <f t="shared" si="12"/>
        <v xml:space="preserve"> </v>
      </c>
      <c r="J122" s="67" t="str">
        <f t="shared" si="13"/>
        <v xml:space="preserve"> </v>
      </c>
      <c r="K122" s="68" t="str">
        <f t="shared" si="14"/>
        <v xml:space="preserve"> </v>
      </c>
      <c r="L122" s="67" t="str">
        <f t="shared" si="15"/>
        <v xml:space="preserve"> </v>
      </c>
      <c r="M122" s="61"/>
      <c r="N122" s="61"/>
      <c r="O122" s="61"/>
    </row>
    <row r="123" spans="1:17" ht="14.25" customHeight="1">
      <c r="A123" s="63"/>
      <c r="B123" s="63">
        <v>24</v>
      </c>
      <c r="C123" s="64"/>
      <c r="D123" s="65"/>
      <c r="E123" s="65"/>
      <c r="F123" s="93"/>
      <c r="G123" s="94"/>
      <c r="H123" s="95"/>
      <c r="I123" s="66" t="str">
        <f t="shared" si="12"/>
        <v xml:space="preserve"> </v>
      </c>
      <c r="J123" s="67" t="str">
        <f t="shared" si="13"/>
        <v xml:space="preserve"> </v>
      </c>
      <c r="K123" s="68" t="str">
        <f t="shared" si="14"/>
        <v xml:space="preserve"> </v>
      </c>
      <c r="L123" s="67" t="str">
        <f t="shared" si="15"/>
        <v xml:space="preserve"> </v>
      </c>
      <c r="M123" s="61"/>
      <c r="N123" s="61"/>
      <c r="O123" s="61"/>
    </row>
    <row r="124" spans="1:17" ht="14.25" customHeight="1">
      <c r="A124" s="63"/>
      <c r="B124" s="63">
        <v>25</v>
      </c>
      <c r="C124" s="87"/>
      <c r="D124" s="65"/>
      <c r="E124" s="65"/>
      <c r="F124" s="93"/>
      <c r="G124" s="94"/>
      <c r="H124" s="95"/>
      <c r="I124" s="66" t="str">
        <f t="shared" si="12"/>
        <v xml:space="preserve"> </v>
      </c>
      <c r="J124" s="67" t="str">
        <f t="shared" si="13"/>
        <v xml:space="preserve"> </v>
      </c>
      <c r="K124" s="68" t="str">
        <f t="shared" si="14"/>
        <v xml:space="preserve"> </v>
      </c>
      <c r="L124" s="67" t="str">
        <f t="shared" si="15"/>
        <v xml:space="preserve"> </v>
      </c>
      <c r="M124" s="61"/>
      <c r="N124" s="61"/>
      <c r="O124" s="61"/>
    </row>
    <row r="125" spans="1:17" ht="14.25" customHeight="1">
      <c r="A125" s="99" t="s">
        <v>35</v>
      </c>
      <c r="B125" s="84">
        <f>COUNT(I100:I124)</f>
        <v>0</v>
      </c>
      <c r="C125" s="84">
        <f>COUNT(K100:K124)</f>
        <v>0</v>
      </c>
      <c r="D125" s="84">
        <f>SUM(E100:E124)*2</f>
        <v>0</v>
      </c>
      <c r="E125" s="84"/>
      <c r="F125" s="84"/>
      <c r="G125" s="84"/>
      <c r="H125" s="84"/>
      <c r="I125" s="96" t="s">
        <v>36</v>
      </c>
      <c r="J125" s="97"/>
      <c r="K125" s="98" t="s">
        <v>37</v>
      </c>
      <c r="L125" s="97"/>
      <c r="M125" s="61"/>
      <c r="N125" s="61"/>
      <c r="O125" s="61"/>
    </row>
    <row r="126" spans="1:17" ht="14.25" customHeight="1">
      <c r="A126" s="105"/>
      <c r="B126" s="85"/>
      <c r="C126" s="85"/>
      <c r="D126" s="85"/>
      <c r="E126" s="85"/>
      <c r="F126" s="85"/>
      <c r="G126" s="85"/>
      <c r="H126" s="85"/>
      <c r="I126" s="99">
        <f>I94</f>
        <v>15</v>
      </c>
      <c r="J126" s="100"/>
      <c r="K126" s="103">
        <f>I126*D125*1.07</f>
        <v>0</v>
      </c>
      <c r="L126" s="100"/>
    </row>
    <row r="127" spans="1:17" ht="15.75" customHeight="1">
      <c r="A127" s="101"/>
      <c r="B127" s="86"/>
      <c r="C127" s="86"/>
      <c r="D127" s="86"/>
      <c r="E127" s="86"/>
      <c r="F127" s="86"/>
      <c r="G127" s="86"/>
      <c r="H127" s="86"/>
      <c r="I127" s="101"/>
      <c r="J127" s="102"/>
      <c r="K127" s="104"/>
      <c r="L127" s="102"/>
    </row>
    <row r="128" spans="1:17" ht="14.25" customHeight="1"/>
    <row r="129" spans="1:18" ht="14.25" customHeight="1"/>
    <row r="130" spans="1:18" ht="14.25" customHeight="1">
      <c r="A130" s="106" t="s">
        <v>2</v>
      </c>
      <c r="B130" s="107"/>
      <c r="C130" s="107"/>
      <c r="D130" s="107"/>
      <c r="E130" s="97"/>
      <c r="F130" s="106" t="s">
        <v>3</v>
      </c>
      <c r="G130" s="107"/>
      <c r="H130" s="97"/>
      <c r="I130" s="108" t="s">
        <v>4</v>
      </c>
      <c r="J130" s="109"/>
      <c r="K130" s="110" t="s">
        <v>5</v>
      </c>
      <c r="L130" s="109"/>
      <c r="O130" s="111" t="s">
        <v>7</v>
      </c>
      <c r="P130" s="107"/>
      <c r="Q130" s="107"/>
      <c r="R130" s="97"/>
    </row>
    <row r="131" spans="1:18" ht="14.25" customHeight="1">
      <c r="A131" s="55" t="s">
        <v>8</v>
      </c>
      <c r="B131" s="55" t="s">
        <v>9</v>
      </c>
      <c r="C131" s="55" t="s">
        <v>10</v>
      </c>
      <c r="D131" s="56" t="s">
        <v>11</v>
      </c>
      <c r="E131" s="57" t="s">
        <v>12</v>
      </c>
      <c r="F131" s="117" t="s">
        <v>11</v>
      </c>
      <c r="G131" s="104"/>
      <c r="H131" s="102"/>
      <c r="I131" s="58" t="s">
        <v>13</v>
      </c>
      <c r="J131" s="59" t="s">
        <v>14</v>
      </c>
      <c r="K131" s="60" t="s">
        <v>13</v>
      </c>
      <c r="L131" s="59" t="s">
        <v>14</v>
      </c>
      <c r="M131" s="61"/>
      <c r="N131" s="61"/>
      <c r="O131" s="112" t="s">
        <v>15</v>
      </c>
      <c r="P131" s="113"/>
      <c r="Q131" s="113"/>
      <c r="R131" s="114"/>
    </row>
    <row r="132" spans="1:18" ht="14.25" customHeight="1">
      <c r="A132" s="62">
        <v>42370</v>
      </c>
      <c r="B132" s="63">
        <v>1</v>
      </c>
      <c r="C132" s="64"/>
      <c r="D132" s="65"/>
      <c r="E132" s="65"/>
      <c r="F132" s="118"/>
      <c r="G132" s="119"/>
      <c r="H132" s="109"/>
      <c r="I132" s="66" t="str">
        <f t="shared" ref="I132:I156" si="16">IF(C132="L",IF(F132-D132&gt;0,F132-D132," "),IF(D132-F132&gt;0,D132-F132," "))</f>
        <v xml:space="preserve"> </v>
      </c>
      <c r="J132" s="67" t="str">
        <f t="shared" ref="J132:J156" si="17">IF(C132="L",IF(F132-D132&gt;0,(F132-D132)*200*E132," "),IF(D132-F132&gt;0,(D132-F132)*200*E132," "))</f>
        <v xml:space="preserve"> </v>
      </c>
      <c r="K132" s="68" t="str">
        <f t="shared" ref="K132:K156" si="18">IF(C132="L",IF(F132-D132&lt;0,F132-D132," "),IF(D132-F132&lt;0,D132-F132," "))</f>
        <v xml:space="preserve"> </v>
      </c>
      <c r="L132" s="67" t="str">
        <f t="shared" ref="L132:L156" si="19">IF(C132="L",IF(F132-D132&lt;0,(F132-D132)*200*E132," "),IF(D132-F132&lt;0,(D132-F132)*200*E132," "))</f>
        <v xml:space="preserve"> </v>
      </c>
      <c r="M132" s="61"/>
      <c r="N132" s="61"/>
      <c r="O132" s="22" t="s">
        <v>19</v>
      </c>
      <c r="P132" s="23">
        <f>B157+C157</f>
        <v>0</v>
      </c>
      <c r="Q132" s="115"/>
      <c r="R132" s="116"/>
    </row>
    <row r="133" spans="1:18" ht="14.25" customHeight="1">
      <c r="A133" s="63"/>
      <c r="B133" s="63">
        <v>2</v>
      </c>
      <c r="C133" s="64"/>
      <c r="D133" s="65"/>
      <c r="E133" s="65"/>
      <c r="F133" s="93"/>
      <c r="G133" s="94"/>
      <c r="H133" s="95"/>
      <c r="I133" s="66" t="str">
        <f t="shared" si="16"/>
        <v xml:space="preserve"> </v>
      </c>
      <c r="J133" s="67" t="str">
        <f t="shared" si="17"/>
        <v xml:space="preserve"> </v>
      </c>
      <c r="K133" s="68" t="str">
        <f t="shared" si="18"/>
        <v xml:space="preserve"> </v>
      </c>
      <c r="L133" s="67" t="str">
        <f t="shared" si="19"/>
        <v xml:space="preserve"> </v>
      </c>
      <c r="M133" s="61"/>
      <c r="N133" s="61"/>
      <c r="O133" s="70" t="s">
        <v>20</v>
      </c>
      <c r="P133" s="71" t="e">
        <f>B157/P132*100</f>
        <v>#DIV/0!</v>
      </c>
      <c r="Q133" s="72" t="s">
        <v>21</v>
      </c>
      <c r="R133" s="73" t="e">
        <f>C157/P132*100</f>
        <v>#DIV/0!</v>
      </c>
    </row>
    <row r="134" spans="1:18" ht="14.25" customHeight="1">
      <c r="A134" s="63"/>
      <c r="B134" s="63">
        <v>3</v>
      </c>
      <c r="C134" s="64"/>
      <c r="D134" s="65"/>
      <c r="E134" s="65"/>
      <c r="F134" s="93"/>
      <c r="G134" s="94"/>
      <c r="H134" s="95"/>
      <c r="I134" s="66" t="str">
        <f t="shared" si="16"/>
        <v xml:space="preserve"> </v>
      </c>
      <c r="J134" s="67" t="str">
        <f t="shared" si="17"/>
        <v xml:space="preserve"> </v>
      </c>
      <c r="K134" s="68" t="str">
        <f t="shared" si="18"/>
        <v xml:space="preserve"> </v>
      </c>
      <c r="L134" s="67" t="str">
        <f t="shared" si="19"/>
        <v xml:space="preserve"> </v>
      </c>
      <c r="M134" s="61"/>
      <c r="N134" s="61"/>
      <c r="O134" s="70" t="s">
        <v>22</v>
      </c>
      <c r="P134" s="74" t="e">
        <f>SUM(I132:I156)/B157</f>
        <v>#DIV/0!</v>
      </c>
      <c r="Q134" s="72" t="s">
        <v>23</v>
      </c>
      <c r="R134" s="75" t="e">
        <f>SUM(K132:K156)/C157</f>
        <v>#DIV/0!</v>
      </c>
    </row>
    <row r="135" spans="1:18" ht="14.25" customHeight="1">
      <c r="A135" s="63"/>
      <c r="B135" s="63">
        <v>4</v>
      </c>
      <c r="C135" s="64"/>
      <c r="D135" s="65"/>
      <c r="E135" s="65"/>
      <c r="F135" s="93"/>
      <c r="G135" s="94"/>
      <c r="H135" s="95"/>
      <c r="I135" s="66" t="str">
        <f t="shared" si="16"/>
        <v xml:space="preserve"> </v>
      </c>
      <c r="J135" s="67" t="str">
        <f t="shared" si="17"/>
        <v xml:space="preserve"> </v>
      </c>
      <c r="K135" s="68" t="str">
        <f t="shared" si="18"/>
        <v xml:space="preserve"> </v>
      </c>
      <c r="L135" s="67" t="str">
        <f t="shared" si="19"/>
        <v xml:space="preserve"> </v>
      </c>
      <c r="M135" s="61"/>
      <c r="N135" s="61"/>
      <c r="O135" s="76" t="s">
        <v>24</v>
      </c>
      <c r="P135" s="77">
        <f>SUM(J132:J156)</f>
        <v>0</v>
      </c>
      <c r="Q135" s="78" t="s">
        <v>25</v>
      </c>
      <c r="R135" s="79">
        <f>SUM(L132:L156)</f>
        <v>0</v>
      </c>
    </row>
    <row r="136" spans="1:18" ht="14.25" customHeight="1">
      <c r="A136" s="63"/>
      <c r="B136" s="63">
        <v>5</v>
      </c>
      <c r="C136" s="64"/>
      <c r="D136" s="65"/>
      <c r="E136" s="65"/>
      <c r="F136" s="93"/>
      <c r="G136" s="94"/>
      <c r="H136" s="95"/>
      <c r="I136" s="66" t="str">
        <f t="shared" si="16"/>
        <v xml:space="preserve"> </v>
      </c>
      <c r="J136" s="67" t="str">
        <f t="shared" si="17"/>
        <v xml:space="preserve"> </v>
      </c>
      <c r="K136" s="68" t="str">
        <f t="shared" si="18"/>
        <v xml:space="preserve"> </v>
      </c>
      <c r="L136" s="67" t="str">
        <f t="shared" si="19"/>
        <v xml:space="preserve"> </v>
      </c>
      <c r="M136" s="61"/>
      <c r="N136" s="61"/>
      <c r="O136" s="128" t="s">
        <v>26</v>
      </c>
      <c r="P136" s="119"/>
      <c r="Q136" s="119"/>
      <c r="R136" s="109"/>
    </row>
    <row r="137" spans="1:18" ht="14.25" customHeight="1">
      <c r="A137" s="63"/>
      <c r="B137" s="63">
        <v>6</v>
      </c>
      <c r="C137" s="64"/>
      <c r="D137" s="65"/>
      <c r="E137" s="65"/>
      <c r="F137" s="93"/>
      <c r="G137" s="94"/>
      <c r="H137" s="95"/>
      <c r="I137" s="66" t="str">
        <f t="shared" si="16"/>
        <v xml:space="preserve"> </v>
      </c>
      <c r="J137" s="67" t="str">
        <f t="shared" si="17"/>
        <v xml:space="preserve"> </v>
      </c>
      <c r="K137" s="68" t="str">
        <f t="shared" si="18"/>
        <v xml:space="preserve"> </v>
      </c>
      <c r="L137" s="67" t="str">
        <f t="shared" si="19"/>
        <v xml:space="preserve"> </v>
      </c>
      <c r="M137" s="61"/>
      <c r="N137" s="61"/>
      <c r="O137" s="129" t="s">
        <v>27</v>
      </c>
      <c r="P137" s="131">
        <f>P135+R135-K158</f>
        <v>0</v>
      </c>
      <c r="Q137" s="129" t="s">
        <v>28</v>
      </c>
      <c r="R137" s="133" t="e">
        <f>K158/P137</f>
        <v>#DIV/0!</v>
      </c>
    </row>
    <row r="138" spans="1:18" ht="14.25" customHeight="1">
      <c r="A138" s="63"/>
      <c r="B138" s="63">
        <v>7</v>
      </c>
      <c r="C138" s="64"/>
      <c r="D138" s="65"/>
      <c r="E138" s="65"/>
      <c r="F138" s="93"/>
      <c r="G138" s="94"/>
      <c r="H138" s="95"/>
      <c r="I138" s="66" t="str">
        <f t="shared" si="16"/>
        <v xml:space="preserve"> </v>
      </c>
      <c r="J138" s="67" t="str">
        <f t="shared" si="17"/>
        <v xml:space="preserve"> </v>
      </c>
      <c r="K138" s="68" t="str">
        <f t="shared" si="18"/>
        <v xml:space="preserve"> </v>
      </c>
      <c r="L138" s="67" t="str">
        <f t="shared" si="19"/>
        <v xml:space="preserve"> </v>
      </c>
      <c r="M138" s="61"/>
      <c r="N138" s="61"/>
      <c r="O138" s="130"/>
      <c r="P138" s="132"/>
      <c r="Q138" s="130"/>
      <c r="R138" s="132"/>
    </row>
    <row r="139" spans="1:18" ht="14.25" customHeight="1">
      <c r="A139" s="63"/>
      <c r="B139" s="63">
        <v>8</v>
      </c>
      <c r="C139" s="64"/>
      <c r="D139" s="65"/>
      <c r="E139" s="65"/>
      <c r="F139" s="93"/>
      <c r="G139" s="94"/>
      <c r="H139" s="95"/>
      <c r="I139" s="66" t="str">
        <f t="shared" si="16"/>
        <v xml:space="preserve"> </v>
      </c>
      <c r="J139" s="67" t="str">
        <f t="shared" si="17"/>
        <v xml:space="preserve"> </v>
      </c>
      <c r="K139" s="68" t="str">
        <f t="shared" si="18"/>
        <v xml:space="preserve"> </v>
      </c>
      <c r="L139" s="67" t="str">
        <f t="shared" si="19"/>
        <v xml:space="preserve"> </v>
      </c>
      <c r="M139" s="61"/>
      <c r="N139" s="61"/>
      <c r="O139" s="124" t="s">
        <v>29</v>
      </c>
      <c r="P139" s="125"/>
      <c r="Q139" s="100"/>
      <c r="R139" s="126" t="e">
        <f>IF(R135&lt;0,((P133*P134/100)+(R133*R134/100)),P134)</f>
        <v>#DIV/0!</v>
      </c>
    </row>
    <row r="140" spans="1:18" ht="14.25" customHeight="1">
      <c r="A140" s="63"/>
      <c r="B140" s="63">
        <v>9</v>
      </c>
      <c r="C140" s="64"/>
      <c r="D140" s="65"/>
      <c r="E140" s="65"/>
      <c r="F140" s="93"/>
      <c r="G140" s="94"/>
      <c r="H140" s="95"/>
      <c r="I140" s="66" t="str">
        <f t="shared" si="16"/>
        <v xml:space="preserve"> </v>
      </c>
      <c r="J140" s="67" t="str">
        <f t="shared" si="17"/>
        <v xml:space="preserve"> </v>
      </c>
      <c r="K140" s="68" t="str">
        <f t="shared" si="18"/>
        <v xml:space="preserve"> </v>
      </c>
      <c r="L140" s="67" t="str">
        <f t="shared" si="19"/>
        <v xml:space="preserve"> </v>
      </c>
      <c r="M140" s="61"/>
      <c r="N140" s="61"/>
      <c r="O140" s="101"/>
      <c r="P140" s="104"/>
      <c r="Q140" s="102"/>
      <c r="R140" s="127"/>
    </row>
    <row r="141" spans="1:18" ht="14.25" customHeight="1">
      <c r="A141" s="63"/>
      <c r="B141" s="63">
        <v>10</v>
      </c>
      <c r="C141" s="64"/>
      <c r="D141" s="65"/>
      <c r="E141" s="65"/>
      <c r="F141" s="93"/>
      <c r="G141" s="94"/>
      <c r="H141" s="95"/>
      <c r="I141" s="66" t="str">
        <f t="shared" si="16"/>
        <v xml:space="preserve"> </v>
      </c>
      <c r="J141" s="67" t="str">
        <f t="shared" si="17"/>
        <v xml:space="preserve"> </v>
      </c>
      <c r="K141" s="68" t="str">
        <f t="shared" si="18"/>
        <v xml:space="preserve"> </v>
      </c>
      <c r="L141" s="67" t="str">
        <f t="shared" si="19"/>
        <v xml:space="preserve"> </v>
      </c>
      <c r="M141" s="61"/>
      <c r="N141" s="61"/>
    </row>
    <row r="142" spans="1:18" ht="14.25" customHeight="1">
      <c r="A142" s="63"/>
      <c r="B142" s="63">
        <v>11</v>
      </c>
      <c r="C142" s="64"/>
      <c r="D142" s="65"/>
      <c r="E142" s="65"/>
      <c r="F142" s="93"/>
      <c r="G142" s="94"/>
      <c r="H142" s="95"/>
      <c r="I142" s="66" t="str">
        <f t="shared" si="16"/>
        <v xml:space="preserve"> </v>
      </c>
      <c r="J142" s="67" t="str">
        <f t="shared" si="17"/>
        <v xml:space="preserve"> </v>
      </c>
      <c r="K142" s="68" t="str">
        <f t="shared" si="18"/>
        <v xml:space="preserve"> </v>
      </c>
      <c r="L142" s="67" t="str">
        <f t="shared" si="19"/>
        <v xml:space="preserve"> </v>
      </c>
      <c r="M142" s="61"/>
      <c r="N142" s="61"/>
      <c r="O142" s="134" t="s">
        <v>30</v>
      </c>
      <c r="P142" s="107"/>
      <c r="Q142" s="97"/>
    </row>
    <row r="143" spans="1:18" ht="14.25" customHeight="1">
      <c r="A143" s="63"/>
      <c r="B143" s="63">
        <v>12</v>
      </c>
      <c r="C143" s="64"/>
      <c r="D143" s="65"/>
      <c r="E143" s="65"/>
      <c r="F143" s="93"/>
      <c r="G143" s="94"/>
      <c r="H143" s="95"/>
      <c r="I143" s="66" t="str">
        <f t="shared" si="16"/>
        <v xml:space="preserve"> </v>
      </c>
      <c r="J143" s="67" t="str">
        <f t="shared" si="17"/>
        <v xml:space="preserve"> </v>
      </c>
      <c r="K143" s="68" t="str">
        <f t="shared" si="18"/>
        <v xml:space="preserve"> </v>
      </c>
      <c r="L143" s="67" t="str">
        <f t="shared" si="19"/>
        <v xml:space="preserve"> </v>
      </c>
      <c r="M143" s="61"/>
      <c r="N143" s="61"/>
      <c r="O143" s="80" t="s">
        <v>31</v>
      </c>
      <c r="P143" s="135">
        <f>MAX(I132:I156)</f>
        <v>0</v>
      </c>
      <c r="Q143" s="95"/>
    </row>
    <row r="144" spans="1:18" ht="14.25" customHeight="1">
      <c r="A144" s="63"/>
      <c r="B144" s="63">
        <v>13</v>
      </c>
      <c r="C144" s="64"/>
      <c r="D144" s="65"/>
      <c r="E144" s="65"/>
      <c r="F144" s="93"/>
      <c r="G144" s="94"/>
      <c r="H144" s="95"/>
      <c r="I144" s="66" t="str">
        <f t="shared" si="16"/>
        <v xml:space="preserve"> </v>
      </c>
      <c r="J144" s="67" t="str">
        <f t="shared" si="17"/>
        <v xml:space="preserve"> </v>
      </c>
      <c r="K144" s="68" t="str">
        <f t="shared" si="18"/>
        <v xml:space="preserve"> </v>
      </c>
      <c r="L144" s="67" t="str">
        <f t="shared" si="19"/>
        <v xml:space="preserve"> </v>
      </c>
      <c r="M144" s="61"/>
      <c r="N144" s="61"/>
      <c r="O144" s="81" t="s">
        <v>32</v>
      </c>
      <c r="P144" s="123">
        <f>MAX(J132:J156)</f>
        <v>0</v>
      </c>
      <c r="Q144" s="95"/>
    </row>
    <row r="145" spans="1:17" ht="14.25" customHeight="1">
      <c r="A145" s="63"/>
      <c r="B145" s="63">
        <v>14</v>
      </c>
      <c r="C145" s="64"/>
      <c r="D145" s="65"/>
      <c r="E145" s="65"/>
      <c r="F145" s="93"/>
      <c r="G145" s="94"/>
      <c r="H145" s="95"/>
      <c r="I145" s="66" t="str">
        <f t="shared" si="16"/>
        <v xml:space="preserve"> </v>
      </c>
      <c r="J145" s="67" t="str">
        <f t="shared" si="17"/>
        <v xml:space="preserve"> </v>
      </c>
      <c r="K145" s="68" t="str">
        <f t="shared" si="18"/>
        <v xml:space="preserve"> </v>
      </c>
      <c r="L145" s="67" t="str">
        <f t="shared" si="19"/>
        <v xml:space="preserve"> </v>
      </c>
      <c r="M145" s="61"/>
      <c r="N145" s="61"/>
      <c r="O145" s="82" t="s">
        <v>33</v>
      </c>
      <c r="P145" s="120">
        <f>MIN(K132:K156)</f>
        <v>0</v>
      </c>
      <c r="Q145" s="95"/>
    </row>
    <row r="146" spans="1:17" ht="14.25" customHeight="1">
      <c r="A146" s="63"/>
      <c r="B146" s="63">
        <v>15</v>
      </c>
      <c r="C146" s="64"/>
      <c r="D146" s="65"/>
      <c r="E146" s="65"/>
      <c r="F146" s="93"/>
      <c r="G146" s="94"/>
      <c r="H146" s="95"/>
      <c r="I146" s="66" t="str">
        <f t="shared" si="16"/>
        <v xml:space="preserve"> </v>
      </c>
      <c r="J146" s="67" t="str">
        <f t="shared" si="17"/>
        <v xml:space="preserve"> </v>
      </c>
      <c r="K146" s="68" t="str">
        <f t="shared" si="18"/>
        <v xml:space="preserve"> </v>
      </c>
      <c r="L146" s="67" t="str">
        <f t="shared" si="19"/>
        <v xml:space="preserve"> </v>
      </c>
      <c r="M146" s="61"/>
      <c r="N146" s="61"/>
      <c r="O146" s="83" t="s">
        <v>34</v>
      </c>
      <c r="P146" s="121">
        <f>MIN(L132:L156)</f>
        <v>0</v>
      </c>
      <c r="Q146" s="122"/>
    </row>
    <row r="147" spans="1:17" ht="14.25" customHeight="1">
      <c r="A147" s="63"/>
      <c r="B147" s="63">
        <v>16</v>
      </c>
      <c r="C147" s="64"/>
      <c r="D147" s="65"/>
      <c r="E147" s="65"/>
      <c r="F147" s="93"/>
      <c r="G147" s="94"/>
      <c r="H147" s="95"/>
      <c r="I147" s="66" t="str">
        <f t="shared" si="16"/>
        <v xml:space="preserve"> </v>
      </c>
      <c r="J147" s="67" t="str">
        <f t="shared" si="17"/>
        <v xml:space="preserve"> </v>
      </c>
      <c r="K147" s="68" t="str">
        <f t="shared" si="18"/>
        <v xml:space="preserve"> </v>
      </c>
      <c r="L147" s="67" t="str">
        <f t="shared" si="19"/>
        <v xml:space="preserve"> </v>
      </c>
      <c r="M147" s="61"/>
      <c r="N147" s="61"/>
      <c r="O147" s="61"/>
    </row>
    <row r="148" spans="1:17" ht="14.25" customHeight="1">
      <c r="A148" s="63"/>
      <c r="B148" s="63">
        <v>17</v>
      </c>
      <c r="C148" s="64"/>
      <c r="D148" s="65"/>
      <c r="E148" s="65"/>
      <c r="F148" s="93"/>
      <c r="G148" s="94"/>
      <c r="H148" s="95"/>
      <c r="I148" s="66" t="str">
        <f t="shared" si="16"/>
        <v xml:space="preserve"> </v>
      </c>
      <c r="J148" s="67" t="str">
        <f t="shared" si="17"/>
        <v xml:space="preserve"> </v>
      </c>
      <c r="K148" s="68" t="str">
        <f t="shared" si="18"/>
        <v xml:space="preserve"> </v>
      </c>
      <c r="L148" s="67" t="str">
        <f t="shared" si="19"/>
        <v xml:space="preserve"> </v>
      </c>
      <c r="M148" s="61"/>
      <c r="N148" s="61"/>
      <c r="O148" s="61"/>
    </row>
    <row r="149" spans="1:17" ht="14.25" customHeight="1">
      <c r="A149" s="63"/>
      <c r="B149" s="63">
        <v>18</v>
      </c>
      <c r="C149" s="64"/>
      <c r="D149" s="65"/>
      <c r="E149" s="65"/>
      <c r="F149" s="93"/>
      <c r="G149" s="94"/>
      <c r="H149" s="95"/>
      <c r="I149" s="66" t="str">
        <f t="shared" si="16"/>
        <v xml:space="preserve"> </v>
      </c>
      <c r="J149" s="67" t="str">
        <f t="shared" si="17"/>
        <v xml:space="preserve"> </v>
      </c>
      <c r="K149" s="68" t="str">
        <f t="shared" si="18"/>
        <v xml:space="preserve"> </v>
      </c>
      <c r="L149" s="67" t="str">
        <f t="shared" si="19"/>
        <v xml:space="preserve"> </v>
      </c>
      <c r="M149" s="61"/>
      <c r="N149" s="61"/>
      <c r="O149" s="61"/>
    </row>
    <row r="150" spans="1:17" ht="14.25" customHeight="1">
      <c r="A150" s="63"/>
      <c r="B150" s="63">
        <v>19</v>
      </c>
      <c r="C150" s="64"/>
      <c r="D150" s="65"/>
      <c r="E150" s="65"/>
      <c r="F150" s="93"/>
      <c r="G150" s="94"/>
      <c r="H150" s="95"/>
      <c r="I150" s="66" t="str">
        <f t="shared" si="16"/>
        <v xml:space="preserve"> </v>
      </c>
      <c r="J150" s="67" t="str">
        <f t="shared" si="17"/>
        <v xml:space="preserve"> </v>
      </c>
      <c r="K150" s="68" t="str">
        <f t="shared" si="18"/>
        <v xml:space="preserve"> </v>
      </c>
      <c r="L150" s="67" t="str">
        <f t="shared" si="19"/>
        <v xml:space="preserve"> </v>
      </c>
      <c r="M150" s="61"/>
      <c r="N150" s="61"/>
      <c r="O150" s="61"/>
    </row>
    <row r="151" spans="1:17" ht="14.25" customHeight="1">
      <c r="A151" s="63"/>
      <c r="B151" s="63">
        <v>20</v>
      </c>
      <c r="C151" s="64"/>
      <c r="D151" s="65"/>
      <c r="E151" s="65"/>
      <c r="F151" s="93"/>
      <c r="G151" s="94"/>
      <c r="H151" s="95"/>
      <c r="I151" s="66" t="str">
        <f t="shared" si="16"/>
        <v xml:space="preserve"> </v>
      </c>
      <c r="J151" s="67" t="str">
        <f t="shared" si="17"/>
        <v xml:space="preserve"> </v>
      </c>
      <c r="K151" s="68" t="str">
        <f t="shared" si="18"/>
        <v xml:space="preserve"> </v>
      </c>
      <c r="L151" s="67" t="str">
        <f t="shared" si="19"/>
        <v xml:space="preserve"> </v>
      </c>
      <c r="M151" s="61"/>
      <c r="N151" s="61"/>
      <c r="O151" s="61"/>
    </row>
    <row r="152" spans="1:17" ht="14.25" customHeight="1">
      <c r="A152" s="63"/>
      <c r="B152" s="63">
        <v>21</v>
      </c>
      <c r="C152" s="64"/>
      <c r="D152" s="65"/>
      <c r="E152" s="65"/>
      <c r="F152" s="93"/>
      <c r="G152" s="94"/>
      <c r="H152" s="95"/>
      <c r="I152" s="66" t="str">
        <f t="shared" si="16"/>
        <v xml:space="preserve"> </v>
      </c>
      <c r="J152" s="67" t="str">
        <f t="shared" si="17"/>
        <v xml:space="preserve"> </v>
      </c>
      <c r="K152" s="68" t="str">
        <f t="shared" si="18"/>
        <v xml:space="preserve"> </v>
      </c>
      <c r="L152" s="67" t="str">
        <f t="shared" si="19"/>
        <v xml:space="preserve"> </v>
      </c>
      <c r="M152" s="61"/>
      <c r="N152" s="61"/>
      <c r="O152" s="61"/>
    </row>
    <row r="153" spans="1:17" ht="14.25" customHeight="1">
      <c r="A153" s="63"/>
      <c r="B153" s="63">
        <v>22</v>
      </c>
      <c r="C153" s="64"/>
      <c r="D153" s="65"/>
      <c r="E153" s="65"/>
      <c r="F153" s="93"/>
      <c r="G153" s="94"/>
      <c r="H153" s="95"/>
      <c r="I153" s="66" t="str">
        <f t="shared" si="16"/>
        <v xml:space="preserve"> </v>
      </c>
      <c r="J153" s="67" t="str">
        <f t="shared" si="17"/>
        <v xml:space="preserve"> </v>
      </c>
      <c r="K153" s="68" t="str">
        <f t="shared" si="18"/>
        <v xml:space="preserve"> </v>
      </c>
      <c r="L153" s="67" t="str">
        <f t="shared" si="19"/>
        <v xml:space="preserve"> </v>
      </c>
      <c r="M153" s="61"/>
      <c r="N153" s="61"/>
      <c r="O153" s="61"/>
    </row>
    <row r="154" spans="1:17" ht="14.25" customHeight="1">
      <c r="A154" s="63"/>
      <c r="B154" s="63">
        <v>23</v>
      </c>
      <c r="C154" s="64"/>
      <c r="D154" s="65"/>
      <c r="E154" s="65"/>
      <c r="F154" s="93"/>
      <c r="G154" s="94"/>
      <c r="H154" s="95"/>
      <c r="I154" s="66" t="str">
        <f t="shared" si="16"/>
        <v xml:space="preserve"> </v>
      </c>
      <c r="J154" s="67" t="str">
        <f t="shared" si="17"/>
        <v xml:space="preserve"> </v>
      </c>
      <c r="K154" s="68" t="str">
        <f t="shared" si="18"/>
        <v xml:space="preserve"> </v>
      </c>
      <c r="L154" s="67" t="str">
        <f t="shared" si="19"/>
        <v xml:space="preserve"> </v>
      </c>
      <c r="M154" s="61"/>
      <c r="N154" s="61"/>
      <c r="O154" s="61"/>
    </row>
    <row r="155" spans="1:17" ht="14.25" customHeight="1">
      <c r="A155" s="63"/>
      <c r="B155" s="63">
        <v>24</v>
      </c>
      <c r="C155" s="64"/>
      <c r="D155" s="65"/>
      <c r="E155" s="65"/>
      <c r="F155" s="93"/>
      <c r="G155" s="94"/>
      <c r="H155" s="95"/>
      <c r="I155" s="66" t="str">
        <f t="shared" si="16"/>
        <v xml:space="preserve"> </v>
      </c>
      <c r="J155" s="67" t="str">
        <f t="shared" si="17"/>
        <v xml:space="preserve"> </v>
      </c>
      <c r="K155" s="68" t="str">
        <f t="shared" si="18"/>
        <v xml:space="preserve"> </v>
      </c>
      <c r="L155" s="67" t="str">
        <f t="shared" si="19"/>
        <v xml:space="preserve"> </v>
      </c>
      <c r="M155" s="61"/>
      <c r="N155" s="61"/>
      <c r="O155" s="61"/>
    </row>
    <row r="156" spans="1:17" ht="14.25" customHeight="1">
      <c r="A156" s="63"/>
      <c r="B156" s="63">
        <v>25</v>
      </c>
      <c r="C156" s="87"/>
      <c r="D156" s="65"/>
      <c r="E156" s="65"/>
      <c r="F156" s="93"/>
      <c r="G156" s="94"/>
      <c r="H156" s="95"/>
      <c r="I156" s="66" t="str">
        <f t="shared" si="16"/>
        <v xml:space="preserve"> </v>
      </c>
      <c r="J156" s="67" t="str">
        <f t="shared" si="17"/>
        <v xml:space="preserve"> </v>
      </c>
      <c r="K156" s="68" t="str">
        <f t="shared" si="18"/>
        <v xml:space="preserve"> </v>
      </c>
      <c r="L156" s="67" t="str">
        <f t="shared" si="19"/>
        <v xml:space="preserve"> </v>
      </c>
      <c r="M156" s="61"/>
      <c r="N156" s="61"/>
      <c r="O156" s="61"/>
    </row>
    <row r="157" spans="1:17" ht="14.25" customHeight="1">
      <c r="A157" s="99" t="s">
        <v>35</v>
      </c>
      <c r="B157" s="84">
        <f>COUNT(I132:I156)</f>
        <v>0</v>
      </c>
      <c r="C157" s="84">
        <f>COUNT(K132:K156)</f>
        <v>0</v>
      </c>
      <c r="D157" s="84">
        <f>SUM(E132:E156)*2</f>
        <v>0</v>
      </c>
      <c r="E157" s="84"/>
      <c r="F157" s="84"/>
      <c r="G157" s="84"/>
      <c r="H157" s="84"/>
      <c r="I157" s="96" t="s">
        <v>36</v>
      </c>
      <c r="J157" s="97"/>
      <c r="K157" s="98" t="s">
        <v>37</v>
      </c>
      <c r="L157" s="97"/>
      <c r="M157" s="61"/>
      <c r="N157" s="61"/>
      <c r="O157" s="61"/>
    </row>
    <row r="158" spans="1:17" ht="14.25" customHeight="1">
      <c r="A158" s="105"/>
      <c r="B158" s="85"/>
      <c r="C158" s="85"/>
      <c r="D158" s="85"/>
      <c r="E158" s="85"/>
      <c r="F158" s="85"/>
      <c r="G158" s="85"/>
      <c r="H158" s="85"/>
      <c r="I158" s="99">
        <f>I126</f>
        <v>15</v>
      </c>
      <c r="J158" s="100"/>
      <c r="K158" s="103">
        <f>I158*D157*1.07</f>
        <v>0</v>
      </c>
      <c r="L158" s="100"/>
    </row>
    <row r="159" spans="1:17" ht="15.75" customHeight="1">
      <c r="A159" s="101"/>
      <c r="B159" s="86"/>
      <c r="C159" s="86"/>
      <c r="D159" s="86"/>
      <c r="E159" s="86"/>
      <c r="F159" s="86"/>
      <c r="G159" s="86"/>
      <c r="H159" s="86"/>
      <c r="I159" s="101"/>
      <c r="J159" s="102"/>
      <c r="K159" s="104"/>
      <c r="L159" s="102"/>
    </row>
    <row r="160" spans="1:17" ht="14.25" customHeight="1"/>
    <row r="161" spans="1:18" ht="14.25" customHeight="1"/>
    <row r="162" spans="1:18" ht="14.25" customHeight="1">
      <c r="A162" s="106" t="s">
        <v>2</v>
      </c>
      <c r="B162" s="107"/>
      <c r="C162" s="107"/>
      <c r="D162" s="107"/>
      <c r="E162" s="97"/>
      <c r="F162" s="106" t="s">
        <v>3</v>
      </c>
      <c r="G162" s="107"/>
      <c r="H162" s="97"/>
      <c r="I162" s="108" t="s">
        <v>4</v>
      </c>
      <c r="J162" s="109"/>
      <c r="K162" s="110" t="s">
        <v>5</v>
      </c>
      <c r="L162" s="109"/>
      <c r="O162" s="111" t="s">
        <v>7</v>
      </c>
      <c r="P162" s="107"/>
      <c r="Q162" s="107"/>
      <c r="R162" s="97"/>
    </row>
    <row r="163" spans="1:18" ht="14.25" customHeight="1">
      <c r="A163" s="55" t="s">
        <v>8</v>
      </c>
      <c r="B163" s="55" t="s">
        <v>9</v>
      </c>
      <c r="C163" s="55" t="s">
        <v>10</v>
      </c>
      <c r="D163" s="56" t="s">
        <v>11</v>
      </c>
      <c r="E163" s="57" t="s">
        <v>12</v>
      </c>
      <c r="F163" s="117" t="s">
        <v>11</v>
      </c>
      <c r="G163" s="104"/>
      <c r="H163" s="102"/>
      <c r="I163" s="58" t="s">
        <v>13</v>
      </c>
      <c r="J163" s="59" t="s">
        <v>14</v>
      </c>
      <c r="K163" s="60" t="s">
        <v>13</v>
      </c>
      <c r="L163" s="59" t="s">
        <v>14</v>
      </c>
      <c r="M163" s="61"/>
      <c r="N163" s="61"/>
      <c r="O163" s="112" t="s">
        <v>15</v>
      </c>
      <c r="P163" s="113"/>
      <c r="Q163" s="113"/>
      <c r="R163" s="114"/>
    </row>
    <row r="164" spans="1:18" ht="14.25" customHeight="1">
      <c r="A164" s="62">
        <v>42370</v>
      </c>
      <c r="B164" s="63">
        <v>1</v>
      </c>
      <c r="C164" s="64"/>
      <c r="D164" s="65"/>
      <c r="E164" s="65"/>
      <c r="F164" s="118"/>
      <c r="G164" s="119"/>
      <c r="H164" s="109"/>
      <c r="I164" s="66" t="str">
        <f t="shared" ref="I164:I188" si="20">IF(C164="L",IF(F164-D164&gt;0,F164-D164," "),IF(D164-F164&gt;0,D164-F164," "))</f>
        <v xml:space="preserve"> </v>
      </c>
      <c r="J164" s="67" t="str">
        <f t="shared" ref="J164:J188" si="21">IF(C164="L",IF(F164-D164&gt;0,(F164-D164)*200*E164," "),IF(D164-F164&gt;0,(D164-F164)*200*E164," "))</f>
        <v xml:space="preserve"> </v>
      </c>
      <c r="K164" s="68" t="str">
        <f t="shared" ref="K164:K188" si="22">IF(C164="L",IF(F164-D164&lt;0,F164-D164," "),IF(D164-F164&lt;0,D164-F164," "))</f>
        <v xml:space="preserve"> </v>
      </c>
      <c r="L164" s="67" t="str">
        <f t="shared" ref="L164:L188" si="23">IF(C164="L",IF(F164-D164&lt;0,(F164-D164)*200*E164," "),IF(D164-F164&lt;0,(D164-F164)*200*E164," "))</f>
        <v xml:space="preserve"> </v>
      </c>
      <c r="M164" s="61"/>
      <c r="N164" s="61"/>
      <c r="O164" s="22" t="s">
        <v>19</v>
      </c>
      <c r="P164" s="23">
        <f>B189+C189</f>
        <v>0</v>
      </c>
      <c r="Q164" s="115"/>
      <c r="R164" s="116"/>
    </row>
    <row r="165" spans="1:18" ht="14.25" customHeight="1">
      <c r="A165" s="63"/>
      <c r="B165" s="63">
        <v>2</v>
      </c>
      <c r="C165" s="64"/>
      <c r="D165" s="65"/>
      <c r="E165" s="65"/>
      <c r="F165" s="93"/>
      <c r="G165" s="94"/>
      <c r="H165" s="95"/>
      <c r="I165" s="66" t="str">
        <f t="shared" si="20"/>
        <v xml:space="preserve"> </v>
      </c>
      <c r="J165" s="67" t="str">
        <f t="shared" si="21"/>
        <v xml:space="preserve"> </v>
      </c>
      <c r="K165" s="68" t="str">
        <f t="shared" si="22"/>
        <v xml:space="preserve"> </v>
      </c>
      <c r="L165" s="67" t="str">
        <f t="shared" si="23"/>
        <v xml:space="preserve"> </v>
      </c>
      <c r="M165" s="61"/>
      <c r="N165" s="61"/>
      <c r="O165" s="70" t="s">
        <v>20</v>
      </c>
      <c r="P165" s="71" t="e">
        <f>B189/P164*100</f>
        <v>#DIV/0!</v>
      </c>
      <c r="Q165" s="72" t="s">
        <v>21</v>
      </c>
      <c r="R165" s="73" t="e">
        <f>C189/P164*100</f>
        <v>#DIV/0!</v>
      </c>
    </row>
    <row r="166" spans="1:18" ht="14.25" customHeight="1">
      <c r="A166" s="63"/>
      <c r="B166" s="63">
        <v>3</v>
      </c>
      <c r="C166" s="64"/>
      <c r="D166" s="65"/>
      <c r="E166" s="65"/>
      <c r="F166" s="93"/>
      <c r="G166" s="94"/>
      <c r="H166" s="95"/>
      <c r="I166" s="66" t="str">
        <f t="shared" si="20"/>
        <v xml:space="preserve"> </v>
      </c>
      <c r="J166" s="67" t="str">
        <f t="shared" si="21"/>
        <v xml:space="preserve"> </v>
      </c>
      <c r="K166" s="68" t="str">
        <f t="shared" si="22"/>
        <v xml:space="preserve"> </v>
      </c>
      <c r="L166" s="67" t="str">
        <f t="shared" si="23"/>
        <v xml:space="preserve"> </v>
      </c>
      <c r="M166" s="61"/>
      <c r="N166" s="61"/>
      <c r="O166" s="70" t="s">
        <v>22</v>
      </c>
      <c r="P166" s="74" t="e">
        <f>SUM(I164:I188)/B189</f>
        <v>#DIV/0!</v>
      </c>
      <c r="Q166" s="72" t="s">
        <v>23</v>
      </c>
      <c r="R166" s="75" t="e">
        <f>SUM(K164:K188)/C189</f>
        <v>#DIV/0!</v>
      </c>
    </row>
    <row r="167" spans="1:18" ht="14.25" customHeight="1">
      <c r="A167" s="63"/>
      <c r="B167" s="63">
        <v>4</v>
      </c>
      <c r="C167" s="64"/>
      <c r="D167" s="65"/>
      <c r="E167" s="65"/>
      <c r="F167" s="93"/>
      <c r="G167" s="94"/>
      <c r="H167" s="95"/>
      <c r="I167" s="66" t="str">
        <f t="shared" si="20"/>
        <v xml:space="preserve"> </v>
      </c>
      <c r="J167" s="67" t="str">
        <f t="shared" si="21"/>
        <v xml:space="preserve"> </v>
      </c>
      <c r="K167" s="68" t="str">
        <f t="shared" si="22"/>
        <v xml:space="preserve"> </v>
      </c>
      <c r="L167" s="67" t="str">
        <f t="shared" si="23"/>
        <v xml:space="preserve"> </v>
      </c>
      <c r="M167" s="61"/>
      <c r="N167" s="61"/>
      <c r="O167" s="76" t="s">
        <v>24</v>
      </c>
      <c r="P167" s="77">
        <f>SUM(J164:J188)</f>
        <v>0</v>
      </c>
      <c r="Q167" s="78" t="s">
        <v>25</v>
      </c>
      <c r="R167" s="79">
        <f>SUM(L164:L188)</f>
        <v>0</v>
      </c>
    </row>
    <row r="168" spans="1:18" ht="14.25" customHeight="1">
      <c r="A168" s="63"/>
      <c r="B168" s="63">
        <v>5</v>
      </c>
      <c r="C168" s="64"/>
      <c r="D168" s="65"/>
      <c r="E168" s="65"/>
      <c r="F168" s="93"/>
      <c r="G168" s="94"/>
      <c r="H168" s="95"/>
      <c r="I168" s="66" t="str">
        <f t="shared" si="20"/>
        <v xml:space="preserve"> </v>
      </c>
      <c r="J168" s="67" t="str">
        <f t="shared" si="21"/>
        <v xml:space="preserve"> </v>
      </c>
      <c r="K168" s="68" t="str">
        <f t="shared" si="22"/>
        <v xml:space="preserve"> </v>
      </c>
      <c r="L168" s="67" t="str">
        <f t="shared" si="23"/>
        <v xml:space="preserve"> </v>
      </c>
      <c r="M168" s="61"/>
      <c r="N168" s="61"/>
      <c r="O168" s="128" t="s">
        <v>26</v>
      </c>
      <c r="P168" s="119"/>
      <c r="Q168" s="119"/>
      <c r="R168" s="109"/>
    </row>
    <row r="169" spans="1:18" ht="14.25" customHeight="1">
      <c r="A169" s="63"/>
      <c r="B169" s="63">
        <v>6</v>
      </c>
      <c r="C169" s="64"/>
      <c r="D169" s="65"/>
      <c r="E169" s="65"/>
      <c r="F169" s="93"/>
      <c r="G169" s="94"/>
      <c r="H169" s="95"/>
      <c r="I169" s="66" t="str">
        <f t="shared" si="20"/>
        <v xml:space="preserve"> </v>
      </c>
      <c r="J169" s="67" t="str">
        <f t="shared" si="21"/>
        <v xml:space="preserve"> </v>
      </c>
      <c r="K169" s="68" t="str">
        <f t="shared" si="22"/>
        <v xml:space="preserve"> </v>
      </c>
      <c r="L169" s="67" t="str">
        <f t="shared" si="23"/>
        <v xml:space="preserve"> </v>
      </c>
      <c r="M169" s="61"/>
      <c r="N169" s="61"/>
      <c r="O169" s="129" t="s">
        <v>27</v>
      </c>
      <c r="P169" s="131">
        <f>P167+R167-K190</f>
        <v>0</v>
      </c>
      <c r="Q169" s="129" t="s">
        <v>28</v>
      </c>
      <c r="R169" s="133" t="e">
        <f>K190/P169</f>
        <v>#DIV/0!</v>
      </c>
    </row>
    <row r="170" spans="1:18" ht="14.25" customHeight="1">
      <c r="A170" s="63"/>
      <c r="B170" s="63">
        <v>7</v>
      </c>
      <c r="C170" s="64"/>
      <c r="D170" s="65"/>
      <c r="E170" s="65"/>
      <c r="F170" s="93"/>
      <c r="G170" s="94"/>
      <c r="H170" s="95"/>
      <c r="I170" s="66" t="str">
        <f t="shared" si="20"/>
        <v xml:space="preserve"> </v>
      </c>
      <c r="J170" s="67" t="str">
        <f t="shared" si="21"/>
        <v xml:space="preserve"> </v>
      </c>
      <c r="K170" s="68" t="str">
        <f t="shared" si="22"/>
        <v xml:space="preserve"> </v>
      </c>
      <c r="L170" s="67" t="str">
        <f t="shared" si="23"/>
        <v xml:space="preserve"> </v>
      </c>
      <c r="M170" s="61"/>
      <c r="N170" s="61"/>
      <c r="O170" s="130"/>
      <c r="P170" s="132"/>
      <c r="Q170" s="130"/>
      <c r="R170" s="132"/>
    </row>
    <row r="171" spans="1:18" ht="14.25" customHeight="1">
      <c r="A171" s="63"/>
      <c r="B171" s="63">
        <v>8</v>
      </c>
      <c r="C171" s="64"/>
      <c r="D171" s="65"/>
      <c r="E171" s="65"/>
      <c r="F171" s="93"/>
      <c r="G171" s="94"/>
      <c r="H171" s="95"/>
      <c r="I171" s="66" t="str">
        <f t="shared" si="20"/>
        <v xml:space="preserve"> </v>
      </c>
      <c r="J171" s="67" t="str">
        <f t="shared" si="21"/>
        <v xml:space="preserve"> </v>
      </c>
      <c r="K171" s="68" t="str">
        <f t="shared" si="22"/>
        <v xml:space="preserve"> </v>
      </c>
      <c r="L171" s="67" t="str">
        <f t="shared" si="23"/>
        <v xml:space="preserve"> </v>
      </c>
      <c r="M171" s="61"/>
      <c r="N171" s="61"/>
      <c r="O171" s="124" t="s">
        <v>29</v>
      </c>
      <c r="P171" s="125"/>
      <c r="Q171" s="100"/>
      <c r="R171" s="126" t="e">
        <f>IF(R167&lt;0,((P165*P166/100)+(R165*R166/100)),P166)</f>
        <v>#DIV/0!</v>
      </c>
    </row>
    <row r="172" spans="1:18" ht="14.25" customHeight="1">
      <c r="A172" s="63"/>
      <c r="B172" s="63">
        <v>9</v>
      </c>
      <c r="C172" s="64"/>
      <c r="D172" s="65"/>
      <c r="E172" s="65"/>
      <c r="F172" s="93"/>
      <c r="G172" s="94"/>
      <c r="H172" s="95"/>
      <c r="I172" s="66" t="str">
        <f t="shared" si="20"/>
        <v xml:space="preserve"> </v>
      </c>
      <c r="J172" s="67" t="str">
        <f t="shared" si="21"/>
        <v xml:space="preserve"> </v>
      </c>
      <c r="K172" s="68" t="str">
        <f t="shared" si="22"/>
        <v xml:space="preserve"> </v>
      </c>
      <c r="L172" s="67" t="str">
        <f t="shared" si="23"/>
        <v xml:space="preserve"> </v>
      </c>
      <c r="M172" s="61"/>
      <c r="N172" s="61"/>
      <c r="O172" s="101"/>
      <c r="P172" s="104"/>
      <c r="Q172" s="102"/>
      <c r="R172" s="127"/>
    </row>
    <row r="173" spans="1:18" ht="14.25" customHeight="1">
      <c r="A173" s="63"/>
      <c r="B173" s="63">
        <v>10</v>
      </c>
      <c r="C173" s="64"/>
      <c r="D173" s="65"/>
      <c r="E173" s="65"/>
      <c r="F173" s="93"/>
      <c r="G173" s="94"/>
      <c r="H173" s="95"/>
      <c r="I173" s="66" t="str">
        <f t="shared" si="20"/>
        <v xml:space="preserve"> </v>
      </c>
      <c r="J173" s="67" t="str">
        <f t="shared" si="21"/>
        <v xml:space="preserve"> </v>
      </c>
      <c r="K173" s="68" t="str">
        <f t="shared" si="22"/>
        <v xml:space="preserve"> </v>
      </c>
      <c r="L173" s="67" t="str">
        <f t="shared" si="23"/>
        <v xml:space="preserve"> </v>
      </c>
      <c r="M173" s="61"/>
      <c r="N173" s="61"/>
    </row>
    <row r="174" spans="1:18" ht="14.25" customHeight="1">
      <c r="A174" s="63"/>
      <c r="B174" s="63">
        <v>11</v>
      </c>
      <c r="C174" s="64"/>
      <c r="D174" s="65"/>
      <c r="E174" s="65"/>
      <c r="F174" s="93"/>
      <c r="G174" s="94"/>
      <c r="H174" s="95"/>
      <c r="I174" s="66" t="str">
        <f t="shared" si="20"/>
        <v xml:space="preserve"> </v>
      </c>
      <c r="J174" s="67" t="str">
        <f t="shared" si="21"/>
        <v xml:space="preserve"> </v>
      </c>
      <c r="K174" s="68" t="str">
        <f t="shared" si="22"/>
        <v xml:space="preserve"> </v>
      </c>
      <c r="L174" s="67" t="str">
        <f t="shared" si="23"/>
        <v xml:space="preserve"> </v>
      </c>
      <c r="M174" s="61"/>
      <c r="N174" s="61"/>
      <c r="O174" s="134" t="s">
        <v>30</v>
      </c>
      <c r="P174" s="107"/>
      <c r="Q174" s="97"/>
    </row>
    <row r="175" spans="1:18" ht="14.25" customHeight="1">
      <c r="A175" s="63"/>
      <c r="B175" s="63">
        <v>12</v>
      </c>
      <c r="C175" s="64"/>
      <c r="D175" s="65"/>
      <c r="E175" s="65"/>
      <c r="F175" s="93"/>
      <c r="G175" s="94"/>
      <c r="H175" s="95"/>
      <c r="I175" s="66" t="str">
        <f t="shared" si="20"/>
        <v xml:space="preserve"> </v>
      </c>
      <c r="J175" s="67" t="str">
        <f t="shared" si="21"/>
        <v xml:space="preserve"> </v>
      </c>
      <c r="K175" s="68" t="str">
        <f t="shared" si="22"/>
        <v xml:space="preserve"> </v>
      </c>
      <c r="L175" s="67" t="str">
        <f t="shared" si="23"/>
        <v xml:space="preserve"> </v>
      </c>
      <c r="M175" s="61"/>
      <c r="N175" s="61"/>
      <c r="O175" s="80" t="s">
        <v>31</v>
      </c>
      <c r="P175" s="135">
        <f>MAX(I164:I188)</f>
        <v>0</v>
      </c>
      <c r="Q175" s="95"/>
    </row>
    <row r="176" spans="1:18" ht="14.25" customHeight="1">
      <c r="A176" s="63"/>
      <c r="B176" s="63">
        <v>13</v>
      </c>
      <c r="C176" s="64"/>
      <c r="D176" s="65"/>
      <c r="E176" s="65"/>
      <c r="F176" s="93"/>
      <c r="G176" s="94"/>
      <c r="H176" s="95"/>
      <c r="I176" s="66" t="str">
        <f t="shared" si="20"/>
        <v xml:space="preserve"> </v>
      </c>
      <c r="J176" s="67" t="str">
        <f t="shared" si="21"/>
        <v xml:space="preserve"> </v>
      </c>
      <c r="K176" s="68" t="str">
        <f t="shared" si="22"/>
        <v xml:space="preserve"> </v>
      </c>
      <c r="L176" s="67" t="str">
        <f t="shared" si="23"/>
        <v xml:space="preserve"> </v>
      </c>
      <c r="M176" s="61"/>
      <c r="N176" s="61"/>
      <c r="O176" s="81" t="s">
        <v>32</v>
      </c>
      <c r="P176" s="123">
        <f>MAX(J164:J188)</f>
        <v>0</v>
      </c>
      <c r="Q176" s="95"/>
    </row>
    <row r="177" spans="1:17" ht="14.25" customHeight="1">
      <c r="A177" s="63"/>
      <c r="B177" s="63">
        <v>14</v>
      </c>
      <c r="C177" s="64"/>
      <c r="D177" s="65"/>
      <c r="E177" s="65"/>
      <c r="F177" s="93"/>
      <c r="G177" s="94"/>
      <c r="H177" s="95"/>
      <c r="I177" s="66" t="str">
        <f t="shared" si="20"/>
        <v xml:space="preserve"> </v>
      </c>
      <c r="J177" s="67" t="str">
        <f t="shared" si="21"/>
        <v xml:space="preserve"> </v>
      </c>
      <c r="K177" s="68" t="str">
        <f t="shared" si="22"/>
        <v xml:space="preserve"> </v>
      </c>
      <c r="L177" s="67" t="str">
        <f t="shared" si="23"/>
        <v xml:space="preserve"> </v>
      </c>
      <c r="M177" s="61"/>
      <c r="N177" s="61"/>
      <c r="O177" s="82" t="s">
        <v>33</v>
      </c>
      <c r="P177" s="120">
        <f>MIN(K164:K188)</f>
        <v>0</v>
      </c>
      <c r="Q177" s="95"/>
    </row>
    <row r="178" spans="1:17" ht="14.25" customHeight="1">
      <c r="A178" s="63"/>
      <c r="B178" s="63">
        <v>15</v>
      </c>
      <c r="C178" s="64"/>
      <c r="D178" s="65"/>
      <c r="E178" s="65"/>
      <c r="F178" s="93"/>
      <c r="G178" s="94"/>
      <c r="H178" s="95"/>
      <c r="I178" s="66" t="str">
        <f t="shared" si="20"/>
        <v xml:space="preserve"> </v>
      </c>
      <c r="J178" s="67" t="str">
        <f t="shared" si="21"/>
        <v xml:space="preserve"> </v>
      </c>
      <c r="K178" s="68" t="str">
        <f t="shared" si="22"/>
        <v xml:space="preserve"> </v>
      </c>
      <c r="L178" s="67" t="str">
        <f t="shared" si="23"/>
        <v xml:space="preserve"> </v>
      </c>
      <c r="M178" s="61"/>
      <c r="N178" s="61"/>
      <c r="O178" s="83" t="s">
        <v>34</v>
      </c>
      <c r="P178" s="121">
        <f>MIN(L164:L188)</f>
        <v>0</v>
      </c>
      <c r="Q178" s="122"/>
    </row>
    <row r="179" spans="1:17" ht="14.25" customHeight="1">
      <c r="A179" s="63"/>
      <c r="B179" s="63">
        <v>16</v>
      </c>
      <c r="C179" s="64"/>
      <c r="D179" s="65"/>
      <c r="E179" s="65"/>
      <c r="F179" s="93"/>
      <c r="G179" s="94"/>
      <c r="H179" s="95"/>
      <c r="I179" s="66" t="str">
        <f t="shared" si="20"/>
        <v xml:space="preserve"> </v>
      </c>
      <c r="J179" s="67" t="str">
        <f t="shared" si="21"/>
        <v xml:space="preserve"> </v>
      </c>
      <c r="K179" s="68" t="str">
        <f t="shared" si="22"/>
        <v xml:space="preserve"> </v>
      </c>
      <c r="L179" s="67" t="str">
        <f t="shared" si="23"/>
        <v xml:space="preserve"> </v>
      </c>
      <c r="M179" s="61"/>
      <c r="N179" s="61"/>
      <c r="O179" s="61"/>
    </row>
    <row r="180" spans="1:17" ht="14.25" customHeight="1">
      <c r="A180" s="63"/>
      <c r="B180" s="63">
        <v>17</v>
      </c>
      <c r="C180" s="64"/>
      <c r="D180" s="65"/>
      <c r="E180" s="65"/>
      <c r="F180" s="93"/>
      <c r="G180" s="94"/>
      <c r="H180" s="95"/>
      <c r="I180" s="66" t="str">
        <f t="shared" si="20"/>
        <v xml:space="preserve"> </v>
      </c>
      <c r="J180" s="67" t="str">
        <f t="shared" si="21"/>
        <v xml:space="preserve"> </v>
      </c>
      <c r="K180" s="68" t="str">
        <f t="shared" si="22"/>
        <v xml:space="preserve"> </v>
      </c>
      <c r="L180" s="67" t="str">
        <f t="shared" si="23"/>
        <v xml:space="preserve"> </v>
      </c>
      <c r="M180" s="61"/>
      <c r="N180" s="61"/>
      <c r="O180" s="61"/>
    </row>
    <row r="181" spans="1:17" ht="14.25" customHeight="1">
      <c r="A181" s="63"/>
      <c r="B181" s="63">
        <v>18</v>
      </c>
      <c r="C181" s="64"/>
      <c r="D181" s="65"/>
      <c r="E181" s="65"/>
      <c r="F181" s="93"/>
      <c r="G181" s="94"/>
      <c r="H181" s="95"/>
      <c r="I181" s="66" t="str">
        <f t="shared" si="20"/>
        <v xml:space="preserve"> </v>
      </c>
      <c r="J181" s="67" t="str">
        <f t="shared" si="21"/>
        <v xml:space="preserve"> </v>
      </c>
      <c r="K181" s="68" t="str">
        <f t="shared" si="22"/>
        <v xml:space="preserve"> </v>
      </c>
      <c r="L181" s="67" t="str">
        <f t="shared" si="23"/>
        <v xml:space="preserve"> </v>
      </c>
      <c r="M181" s="61"/>
      <c r="N181" s="61"/>
      <c r="O181" s="61"/>
    </row>
    <row r="182" spans="1:17" ht="14.25" customHeight="1">
      <c r="A182" s="63"/>
      <c r="B182" s="63">
        <v>19</v>
      </c>
      <c r="C182" s="64"/>
      <c r="D182" s="65"/>
      <c r="E182" s="65"/>
      <c r="F182" s="93"/>
      <c r="G182" s="94"/>
      <c r="H182" s="95"/>
      <c r="I182" s="66" t="str">
        <f t="shared" si="20"/>
        <v xml:space="preserve"> </v>
      </c>
      <c r="J182" s="67" t="str">
        <f t="shared" si="21"/>
        <v xml:space="preserve"> </v>
      </c>
      <c r="K182" s="68" t="str">
        <f t="shared" si="22"/>
        <v xml:space="preserve"> </v>
      </c>
      <c r="L182" s="67" t="str">
        <f t="shared" si="23"/>
        <v xml:space="preserve"> </v>
      </c>
      <c r="M182" s="61"/>
      <c r="N182" s="61"/>
      <c r="O182" s="61"/>
    </row>
    <row r="183" spans="1:17" ht="14.25" customHeight="1">
      <c r="A183" s="63"/>
      <c r="B183" s="63">
        <v>20</v>
      </c>
      <c r="C183" s="64"/>
      <c r="D183" s="65"/>
      <c r="E183" s="65"/>
      <c r="F183" s="93"/>
      <c r="G183" s="94"/>
      <c r="H183" s="95"/>
      <c r="I183" s="66" t="str">
        <f t="shared" si="20"/>
        <v xml:space="preserve"> </v>
      </c>
      <c r="J183" s="67" t="str">
        <f t="shared" si="21"/>
        <v xml:space="preserve"> </v>
      </c>
      <c r="K183" s="68" t="str">
        <f t="shared" si="22"/>
        <v xml:space="preserve"> </v>
      </c>
      <c r="L183" s="67" t="str">
        <f t="shared" si="23"/>
        <v xml:space="preserve"> </v>
      </c>
      <c r="M183" s="61"/>
      <c r="N183" s="61"/>
      <c r="O183" s="61"/>
    </row>
    <row r="184" spans="1:17" ht="14.25" customHeight="1">
      <c r="A184" s="63"/>
      <c r="B184" s="63">
        <v>21</v>
      </c>
      <c r="C184" s="64"/>
      <c r="D184" s="65"/>
      <c r="E184" s="65"/>
      <c r="F184" s="93"/>
      <c r="G184" s="94"/>
      <c r="H184" s="95"/>
      <c r="I184" s="66" t="str">
        <f t="shared" si="20"/>
        <v xml:space="preserve"> </v>
      </c>
      <c r="J184" s="67" t="str">
        <f t="shared" si="21"/>
        <v xml:space="preserve"> </v>
      </c>
      <c r="K184" s="68" t="str">
        <f t="shared" si="22"/>
        <v xml:space="preserve"> </v>
      </c>
      <c r="L184" s="67" t="str">
        <f t="shared" si="23"/>
        <v xml:space="preserve"> </v>
      </c>
      <c r="M184" s="61"/>
      <c r="N184" s="61"/>
      <c r="O184" s="61"/>
    </row>
    <row r="185" spans="1:17" ht="14.25" customHeight="1">
      <c r="A185" s="63"/>
      <c r="B185" s="63">
        <v>22</v>
      </c>
      <c r="C185" s="64"/>
      <c r="D185" s="65"/>
      <c r="E185" s="65"/>
      <c r="F185" s="93"/>
      <c r="G185" s="94"/>
      <c r="H185" s="95"/>
      <c r="I185" s="66" t="str">
        <f t="shared" si="20"/>
        <v xml:space="preserve"> </v>
      </c>
      <c r="J185" s="67" t="str">
        <f t="shared" si="21"/>
        <v xml:space="preserve"> </v>
      </c>
      <c r="K185" s="68" t="str">
        <f t="shared" si="22"/>
        <v xml:space="preserve"> </v>
      </c>
      <c r="L185" s="67" t="str">
        <f t="shared" si="23"/>
        <v xml:space="preserve"> </v>
      </c>
      <c r="M185" s="61"/>
      <c r="N185" s="61"/>
      <c r="O185" s="61"/>
    </row>
    <row r="186" spans="1:17" ht="14.25" customHeight="1">
      <c r="A186" s="63"/>
      <c r="B186" s="63">
        <v>23</v>
      </c>
      <c r="C186" s="64"/>
      <c r="D186" s="65"/>
      <c r="E186" s="65"/>
      <c r="F186" s="93"/>
      <c r="G186" s="94"/>
      <c r="H186" s="95"/>
      <c r="I186" s="66" t="str">
        <f t="shared" si="20"/>
        <v xml:space="preserve"> </v>
      </c>
      <c r="J186" s="67" t="str">
        <f t="shared" si="21"/>
        <v xml:space="preserve"> </v>
      </c>
      <c r="K186" s="68" t="str">
        <f t="shared" si="22"/>
        <v xml:space="preserve"> </v>
      </c>
      <c r="L186" s="67" t="str">
        <f t="shared" si="23"/>
        <v xml:space="preserve"> </v>
      </c>
      <c r="M186" s="61"/>
      <c r="N186" s="61"/>
      <c r="O186" s="61"/>
    </row>
    <row r="187" spans="1:17" ht="14.25" customHeight="1">
      <c r="A187" s="63"/>
      <c r="B187" s="63">
        <v>24</v>
      </c>
      <c r="C187" s="64"/>
      <c r="D187" s="65"/>
      <c r="E187" s="65"/>
      <c r="F187" s="93"/>
      <c r="G187" s="94"/>
      <c r="H187" s="95"/>
      <c r="I187" s="66" t="str">
        <f t="shared" si="20"/>
        <v xml:space="preserve"> </v>
      </c>
      <c r="J187" s="67" t="str">
        <f t="shared" si="21"/>
        <v xml:space="preserve"> </v>
      </c>
      <c r="K187" s="68" t="str">
        <f t="shared" si="22"/>
        <v xml:space="preserve"> </v>
      </c>
      <c r="L187" s="67" t="str">
        <f t="shared" si="23"/>
        <v xml:space="preserve"> </v>
      </c>
      <c r="M187" s="61"/>
      <c r="N187" s="61"/>
      <c r="O187" s="61"/>
    </row>
    <row r="188" spans="1:17" ht="14.25" customHeight="1">
      <c r="A188" s="63"/>
      <c r="B188" s="63">
        <v>25</v>
      </c>
      <c r="C188" s="87"/>
      <c r="D188" s="65"/>
      <c r="E188" s="65"/>
      <c r="F188" s="93"/>
      <c r="G188" s="94"/>
      <c r="H188" s="95"/>
      <c r="I188" s="66" t="str">
        <f t="shared" si="20"/>
        <v xml:space="preserve"> </v>
      </c>
      <c r="J188" s="67" t="str">
        <f t="shared" si="21"/>
        <v xml:space="preserve"> </v>
      </c>
      <c r="K188" s="68" t="str">
        <f t="shared" si="22"/>
        <v xml:space="preserve"> </v>
      </c>
      <c r="L188" s="67" t="str">
        <f t="shared" si="23"/>
        <v xml:space="preserve"> </v>
      </c>
      <c r="M188" s="61"/>
      <c r="N188" s="61"/>
      <c r="O188" s="61"/>
    </row>
    <row r="189" spans="1:17" ht="14.25" customHeight="1">
      <c r="A189" s="99" t="s">
        <v>35</v>
      </c>
      <c r="B189" s="84">
        <f>COUNT(I164:I188)</f>
        <v>0</v>
      </c>
      <c r="C189" s="84">
        <f>COUNT(K164:K188)</f>
        <v>0</v>
      </c>
      <c r="D189" s="84">
        <f>SUM(E164:E188)*2</f>
        <v>0</v>
      </c>
      <c r="E189" s="84"/>
      <c r="F189" s="84"/>
      <c r="G189" s="84"/>
      <c r="H189" s="84"/>
      <c r="I189" s="96" t="s">
        <v>36</v>
      </c>
      <c r="J189" s="97"/>
      <c r="K189" s="98" t="s">
        <v>37</v>
      </c>
      <c r="L189" s="97"/>
      <c r="M189" s="61"/>
      <c r="N189" s="61"/>
      <c r="O189" s="61"/>
    </row>
    <row r="190" spans="1:17" ht="14.25" customHeight="1">
      <c r="A190" s="105"/>
      <c r="B190" s="85"/>
      <c r="C190" s="85"/>
      <c r="D190" s="85"/>
      <c r="E190" s="85"/>
      <c r="F190" s="85"/>
      <c r="G190" s="85"/>
      <c r="H190" s="85"/>
      <c r="I190" s="99">
        <f>I158</f>
        <v>15</v>
      </c>
      <c r="J190" s="100"/>
      <c r="K190" s="103">
        <f>I190*D189*1.07</f>
        <v>0</v>
      </c>
      <c r="L190" s="100"/>
    </row>
    <row r="191" spans="1:17" ht="15.75" customHeight="1">
      <c r="A191" s="101"/>
      <c r="B191" s="86"/>
      <c r="C191" s="86"/>
      <c r="D191" s="86"/>
      <c r="E191" s="86"/>
      <c r="F191" s="86"/>
      <c r="G191" s="86"/>
      <c r="H191" s="86"/>
      <c r="I191" s="101"/>
      <c r="J191" s="102"/>
      <c r="K191" s="104"/>
      <c r="L191" s="102"/>
    </row>
    <row r="192" spans="1:17" ht="14.25" customHeight="1"/>
    <row r="193" spans="1:18" ht="14.25" customHeight="1"/>
    <row r="194" spans="1:18" ht="14.25" customHeight="1">
      <c r="A194" s="106" t="s">
        <v>2</v>
      </c>
      <c r="B194" s="107"/>
      <c r="C194" s="107"/>
      <c r="D194" s="107"/>
      <c r="E194" s="97"/>
      <c r="F194" s="106" t="s">
        <v>3</v>
      </c>
      <c r="G194" s="107"/>
      <c r="H194" s="97"/>
      <c r="I194" s="108" t="s">
        <v>4</v>
      </c>
      <c r="J194" s="109"/>
      <c r="K194" s="110" t="s">
        <v>5</v>
      </c>
      <c r="L194" s="109"/>
      <c r="O194" s="111" t="s">
        <v>7</v>
      </c>
      <c r="P194" s="107"/>
      <c r="Q194" s="107"/>
      <c r="R194" s="97"/>
    </row>
    <row r="195" spans="1:18" ht="14.25" customHeight="1">
      <c r="A195" s="55" t="s">
        <v>8</v>
      </c>
      <c r="B195" s="55" t="s">
        <v>9</v>
      </c>
      <c r="C195" s="55" t="s">
        <v>10</v>
      </c>
      <c r="D195" s="56" t="s">
        <v>11</v>
      </c>
      <c r="E195" s="57" t="s">
        <v>12</v>
      </c>
      <c r="F195" s="117" t="s">
        <v>11</v>
      </c>
      <c r="G195" s="104"/>
      <c r="H195" s="102"/>
      <c r="I195" s="58" t="s">
        <v>13</v>
      </c>
      <c r="J195" s="59" t="s">
        <v>14</v>
      </c>
      <c r="K195" s="60" t="s">
        <v>13</v>
      </c>
      <c r="L195" s="59" t="s">
        <v>14</v>
      </c>
      <c r="M195" s="61"/>
      <c r="N195" s="61"/>
      <c r="O195" s="112" t="s">
        <v>15</v>
      </c>
      <c r="P195" s="113"/>
      <c r="Q195" s="113"/>
      <c r="R195" s="114"/>
    </row>
    <row r="196" spans="1:18" ht="14.25" customHeight="1">
      <c r="A196" s="62">
        <v>42370</v>
      </c>
      <c r="B196" s="63">
        <v>1</v>
      </c>
      <c r="C196" s="64"/>
      <c r="D196" s="65"/>
      <c r="E196" s="65"/>
      <c r="F196" s="118"/>
      <c r="G196" s="119"/>
      <c r="H196" s="109"/>
      <c r="I196" s="66" t="str">
        <f t="shared" ref="I196:I220" si="24">IF(C196="L",IF(F196-D196&gt;0,F196-D196," "),IF(D196-F196&gt;0,D196-F196," "))</f>
        <v xml:space="preserve"> </v>
      </c>
      <c r="J196" s="67" t="str">
        <f t="shared" ref="J196:J220" si="25">IF(C196="L",IF(F196-D196&gt;0,(F196-D196)*200*E196," "),IF(D196-F196&gt;0,(D196-F196)*200*E196," "))</f>
        <v xml:space="preserve"> </v>
      </c>
      <c r="K196" s="68" t="str">
        <f t="shared" ref="K196:K220" si="26">IF(C196="L",IF(F196-D196&lt;0,F196-D196," "),IF(D196-F196&lt;0,D196-F196," "))</f>
        <v xml:space="preserve"> </v>
      </c>
      <c r="L196" s="67" t="str">
        <f t="shared" ref="L196:L220" si="27">IF(C196="L",IF(F196-D196&lt;0,(F196-D196)*200*E196," "),IF(D196-F196&lt;0,(D196-F196)*200*E196," "))</f>
        <v xml:space="preserve"> </v>
      </c>
      <c r="M196" s="61"/>
      <c r="N196" s="61"/>
      <c r="O196" s="22" t="s">
        <v>19</v>
      </c>
      <c r="P196" s="23">
        <f>B221+C221</f>
        <v>0</v>
      </c>
      <c r="Q196" s="115"/>
      <c r="R196" s="116"/>
    </row>
    <row r="197" spans="1:18" ht="14.25" customHeight="1">
      <c r="A197" s="63"/>
      <c r="B197" s="63">
        <v>2</v>
      </c>
      <c r="C197" s="64"/>
      <c r="D197" s="65"/>
      <c r="E197" s="65"/>
      <c r="F197" s="93"/>
      <c r="G197" s="94"/>
      <c r="H197" s="95"/>
      <c r="I197" s="66" t="str">
        <f t="shared" si="24"/>
        <v xml:space="preserve"> </v>
      </c>
      <c r="J197" s="67" t="str">
        <f t="shared" si="25"/>
        <v xml:space="preserve"> </v>
      </c>
      <c r="K197" s="68" t="str">
        <f t="shared" si="26"/>
        <v xml:space="preserve"> </v>
      </c>
      <c r="L197" s="67" t="str">
        <f t="shared" si="27"/>
        <v xml:space="preserve"> </v>
      </c>
      <c r="M197" s="61"/>
      <c r="N197" s="61"/>
      <c r="O197" s="70" t="s">
        <v>20</v>
      </c>
      <c r="P197" s="71" t="e">
        <f>B221/P196*100</f>
        <v>#DIV/0!</v>
      </c>
      <c r="Q197" s="72" t="s">
        <v>21</v>
      </c>
      <c r="R197" s="73" t="e">
        <f>C221/P196*100</f>
        <v>#DIV/0!</v>
      </c>
    </row>
    <row r="198" spans="1:18" ht="14.25" customHeight="1">
      <c r="A198" s="63"/>
      <c r="B198" s="63">
        <v>3</v>
      </c>
      <c r="C198" s="64"/>
      <c r="D198" s="65"/>
      <c r="E198" s="65"/>
      <c r="F198" s="93"/>
      <c r="G198" s="94"/>
      <c r="H198" s="95"/>
      <c r="I198" s="66" t="str">
        <f t="shared" si="24"/>
        <v xml:space="preserve"> </v>
      </c>
      <c r="J198" s="67" t="str">
        <f t="shared" si="25"/>
        <v xml:space="preserve"> </v>
      </c>
      <c r="K198" s="68" t="str">
        <f t="shared" si="26"/>
        <v xml:space="preserve"> </v>
      </c>
      <c r="L198" s="67" t="str">
        <f t="shared" si="27"/>
        <v xml:space="preserve"> </v>
      </c>
      <c r="M198" s="61"/>
      <c r="N198" s="61"/>
      <c r="O198" s="70" t="s">
        <v>22</v>
      </c>
      <c r="P198" s="74" t="e">
        <f>SUM(I196:I220)/B221</f>
        <v>#DIV/0!</v>
      </c>
      <c r="Q198" s="72" t="s">
        <v>23</v>
      </c>
      <c r="R198" s="75" t="e">
        <f>SUM(K196:K220)/C221</f>
        <v>#DIV/0!</v>
      </c>
    </row>
    <row r="199" spans="1:18" ht="14.25" customHeight="1">
      <c r="A199" s="63"/>
      <c r="B199" s="63">
        <v>4</v>
      </c>
      <c r="C199" s="64"/>
      <c r="D199" s="65"/>
      <c r="E199" s="65"/>
      <c r="F199" s="93"/>
      <c r="G199" s="94"/>
      <c r="H199" s="95"/>
      <c r="I199" s="66" t="str">
        <f t="shared" si="24"/>
        <v xml:space="preserve"> </v>
      </c>
      <c r="J199" s="67" t="str">
        <f t="shared" si="25"/>
        <v xml:space="preserve"> </v>
      </c>
      <c r="K199" s="68" t="str">
        <f t="shared" si="26"/>
        <v xml:space="preserve"> </v>
      </c>
      <c r="L199" s="67" t="str">
        <f t="shared" si="27"/>
        <v xml:space="preserve"> </v>
      </c>
      <c r="M199" s="61"/>
      <c r="N199" s="61"/>
      <c r="O199" s="76" t="s">
        <v>24</v>
      </c>
      <c r="P199" s="77">
        <f>SUM(J196:J220)</f>
        <v>0</v>
      </c>
      <c r="Q199" s="78" t="s">
        <v>25</v>
      </c>
      <c r="R199" s="79">
        <f>SUM(L196:L220)</f>
        <v>0</v>
      </c>
    </row>
    <row r="200" spans="1:18" ht="14.25" customHeight="1">
      <c r="A200" s="63"/>
      <c r="B200" s="63">
        <v>5</v>
      </c>
      <c r="C200" s="64"/>
      <c r="D200" s="65"/>
      <c r="E200" s="65"/>
      <c r="F200" s="93"/>
      <c r="G200" s="94"/>
      <c r="H200" s="95"/>
      <c r="I200" s="66" t="str">
        <f t="shared" si="24"/>
        <v xml:space="preserve"> </v>
      </c>
      <c r="J200" s="67" t="str">
        <f t="shared" si="25"/>
        <v xml:space="preserve"> </v>
      </c>
      <c r="K200" s="68" t="str">
        <f t="shared" si="26"/>
        <v xml:space="preserve"> </v>
      </c>
      <c r="L200" s="67" t="str">
        <f t="shared" si="27"/>
        <v xml:space="preserve"> </v>
      </c>
      <c r="M200" s="61"/>
      <c r="N200" s="61"/>
      <c r="O200" s="128" t="s">
        <v>26</v>
      </c>
      <c r="P200" s="119"/>
      <c r="Q200" s="119"/>
      <c r="R200" s="109"/>
    </row>
    <row r="201" spans="1:18" ht="14.25" customHeight="1">
      <c r="A201" s="63"/>
      <c r="B201" s="63">
        <v>6</v>
      </c>
      <c r="C201" s="64"/>
      <c r="D201" s="65"/>
      <c r="E201" s="65"/>
      <c r="F201" s="93"/>
      <c r="G201" s="94"/>
      <c r="H201" s="95"/>
      <c r="I201" s="66" t="str">
        <f t="shared" si="24"/>
        <v xml:space="preserve"> </v>
      </c>
      <c r="J201" s="67" t="str">
        <f t="shared" si="25"/>
        <v xml:space="preserve"> </v>
      </c>
      <c r="K201" s="68" t="str">
        <f t="shared" si="26"/>
        <v xml:space="preserve"> </v>
      </c>
      <c r="L201" s="67" t="str">
        <f t="shared" si="27"/>
        <v xml:space="preserve"> </v>
      </c>
      <c r="M201" s="61"/>
      <c r="N201" s="61"/>
      <c r="O201" s="129" t="s">
        <v>27</v>
      </c>
      <c r="P201" s="131">
        <f>P199+R199-K222</f>
        <v>0</v>
      </c>
      <c r="Q201" s="129" t="s">
        <v>28</v>
      </c>
      <c r="R201" s="133" t="e">
        <f>K222/P201</f>
        <v>#DIV/0!</v>
      </c>
    </row>
    <row r="202" spans="1:18" ht="14.25" customHeight="1">
      <c r="A202" s="63"/>
      <c r="B202" s="63">
        <v>7</v>
      </c>
      <c r="C202" s="64"/>
      <c r="D202" s="65"/>
      <c r="E202" s="65"/>
      <c r="F202" s="93"/>
      <c r="G202" s="94"/>
      <c r="H202" s="95"/>
      <c r="I202" s="66" t="str">
        <f t="shared" si="24"/>
        <v xml:space="preserve"> </v>
      </c>
      <c r="J202" s="67" t="str">
        <f t="shared" si="25"/>
        <v xml:space="preserve"> </v>
      </c>
      <c r="K202" s="68" t="str">
        <f t="shared" si="26"/>
        <v xml:space="preserve"> </v>
      </c>
      <c r="L202" s="67" t="str">
        <f t="shared" si="27"/>
        <v xml:space="preserve"> </v>
      </c>
      <c r="M202" s="61"/>
      <c r="N202" s="61"/>
      <c r="O202" s="130"/>
      <c r="P202" s="132"/>
      <c r="Q202" s="130"/>
      <c r="R202" s="132"/>
    </row>
    <row r="203" spans="1:18" ht="14.25" customHeight="1">
      <c r="A203" s="63"/>
      <c r="B203" s="63">
        <v>8</v>
      </c>
      <c r="C203" s="64"/>
      <c r="D203" s="65"/>
      <c r="E203" s="65"/>
      <c r="F203" s="93"/>
      <c r="G203" s="94"/>
      <c r="H203" s="95"/>
      <c r="I203" s="66" t="str">
        <f t="shared" si="24"/>
        <v xml:space="preserve"> </v>
      </c>
      <c r="J203" s="67" t="str">
        <f t="shared" si="25"/>
        <v xml:space="preserve"> </v>
      </c>
      <c r="K203" s="68" t="str">
        <f t="shared" si="26"/>
        <v xml:space="preserve"> </v>
      </c>
      <c r="L203" s="67" t="str">
        <f t="shared" si="27"/>
        <v xml:space="preserve"> </v>
      </c>
      <c r="M203" s="61"/>
      <c r="N203" s="61"/>
      <c r="O203" s="124" t="s">
        <v>29</v>
      </c>
      <c r="P203" s="125"/>
      <c r="Q203" s="100"/>
      <c r="R203" s="126" t="e">
        <f>IF(R199&lt;0,((P197*P198/100)+(R197*R198/100)),P198)</f>
        <v>#DIV/0!</v>
      </c>
    </row>
    <row r="204" spans="1:18" ht="14.25" customHeight="1">
      <c r="A204" s="63"/>
      <c r="B204" s="63">
        <v>9</v>
      </c>
      <c r="C204" s="64"/>
      <c r="D204" s="65"/>
      <c r="E204" s="65"/>
      <c r="F204" s="93"/>
      <c r="G204" s="94"/>
      <c r="H204" s="95"/>
      <c r="I204" s="66" t="str">
        <f t="shared" si="24"/>
        <v xml:space="preserve"> </v>
      </c>
      <c r="J204" s="67" t="str">
        <f t="shared" si="25"/>
        <v xml:space="preserve"> </v>
      </c>
      <c r="K204" s="68" t="str">
        <f t="shared" si="26"/>
        <v xml:space="preserve"> </v>
      </c>
      <c r="L204" s="67" t="str">
        <f t="shared" si="27"/>
        <v xml:space="preserve"> </v>
      </c>
      <c r="M204" s="61"/>
      <c r="N204" s="61"/>
      <c r="O204" s="101"/>
      <c r="P204" s="104"/>
      <c r="Q204" s="102"/>
      <c r="R204" s="127"/>
    </row>
    <row r="205" spans="1:18" ht="14.25" customHeight="1">
      <c r="A205" s="63"/>
      <c r="B205" s="63">
        <v>10</v>
      </c>
      <c r="C205" s="64"/>
      <c r="D205" s="65"/>
      <c r="E205" s="65"/>
      <c r="F205" s="93"/>
      <c r="G205" s="94"/>
      <c r="H205" s="95"/>
      <c r="I205" s="66" t="str">
        <f t="shared" si="24"/>
        <v xml:space="preserve"> </v>
      </c>
      <c r="J205" s="67" t="str">
        <f t="shared" si="25"/>
        <v xml:space="preserve"> </v>
      </c>
      <c r="K205" s="68" t="str">
        <f t="shared" si="26"/>
        <v xml:space="preserve"> </v>
      </c>
      <c r="L205" s="67" t="str">
        <f t="shared" si="27"/>
        <v xml:space="preserve"> </v>
      </c>
      <c r="M205" s="61"/>
      <c r="N205" s="61"/>
    </row>
    <row r="206" spans="1:18" ht="14.25" customHeight="1">
      <c r="A206" s="63"/>
      <c r="B206" s="63">
        <v>11</v>
      </c>
      <c r="C206" s="64"/>
      <c r="D206" s="65"/>
      <c r="E206" s="65"/>
      <c r="F206" s="93"/>
      <c r="G206" s="94"/>
      <c r="H206" s="95"/>
      <c r="I206" s="66" t="str">
        <f t="shared" si="24"/>
        <v xml:space="preserve"> </v>
      </c>
      <c r="J206" s="67" t="str">
        <f t="shared" si="25"/>
        <v xml:space="preserve"> </v>
      </c>
      <c r="K206" s="68" t="str">
        <f t="shared" si="26"/>
        <v xml:space="preserve"> </v>
      </c>
      <c r="L206" s="67" t="str">
        <f t="shared" si="27"/>
        <v xml:space="preserve"> </v>
      </c>
      <c r="M206" s="61"/>
      <c r="N206" s="61"/>
      <c r="O206" s="134" t="s">
        <v>30</v>
      </c>
      <c r="P206" s="107"/>
      <c r="Q206" s="97"/>
    </row>
    <row r="207" spans="1:18" ht="14.25" customHeight="1">
      <c r="A207" s="63"/>
      <c r="B207" s="63">
        <v>12</v>
      </c>
      <c r="C207" s="64"/>
      <c r="D207" s="65"/>
      <c r="E207" s="65"/>
      <c r="F207" s="93"/>
      <c r="G207" s="94"/>
      <c r="H207" s="95"/>
      <c r="I207" s="66" t="str">
        <f t="shared" si="24"/>
        <v xml:space="preserve"> </v>
      </c>
      <c r="J207" s="67" t="str">
        <f t="shared" si="25"/>
        <v xml:space="preserve"> </v>
      </c>
      <c r="K207" s="68" t="str">
        <f t="shared" si="26"/>
        <v xml:space="preserve"> </v>
      </c>
      <c r="L207" s="67" t="str">
        <f t="shared" si="27"/>
        <v xml:space="preserve"> </v>
      </c>
      <c r="M207" s="61"/>
      <c r="N207" s="61"/>
      <c r="O207" s="80" t="s">
        <v>31</v>
      </c>
      <c r="P207" s="135">
        <f>MAX(I196:I220)</f>
        <v>0</v>
      </c>
      <c r="Q207" s="95"/>
    </row>
    <row r="208" spans="1:18" ht="14.25" customHeight="1">
      <c r="A208" s="63"/>
      <c r="B208" s="63">
        <v>13</v>
      </c>
      <c r="C208" s="64"/>
      <c r="D208" s="65"/>
      <c r="E208" s="65"/>
      <c r="F208" s="93"/>
      <c r="G208" s="94"/>
      <c r="H208" s="95"/>
      <c r="I208" s="66" t="str">
        <f t="shared" si="24"/>
        <v xml:space="preserve"> </v>
      </c>
      <c r="J208" s="67" t="str">
        <f t="shared" si="25"/>
        <v xml:space="preserve"> </v>
      </c>
      <c r="K208" s="68" t="str">
        <f t="shared" si="26"/>
        <v xml:space="preserve"> </v>
      </c>
      <c r="L208" s="67" t="str">
        <f t="shared" si="27"/>
        <v xml:space="preserve"> </v>
      </c>
      <c r="M208" s="61"/>
      <c r="N208" s="61"/>
      <c r="O208" s="81" t="s">
        <v>32</v>
      </c>
      <c r="P208" s="123">
        <f>MAX(J196:J220)</f>
        <v>0</v>
      </c>
      <c r="Q208" s="95"/>
    </row>
    <row r="209" spans="1:17" ht="14.25" customHeight="1">
      <c r="A209" s="63"/>
      <c r="B209" s="63">
        <v>14</v>
      </c>
      <c r="C209" s="64"/>
      <c r="D209" s="65"/>
      <c r="E209" s="65"/>
      <c r="F209" s="93"/>
      <c r="G209" s="94"/>
      <c r="H209" s="95"/>
      <c r="I209" s="66" t="str">
        <f t="shared" si="24"/>
        <v xml:space="preserve"> </v>
      </c>
      <c r="J209" s="67" t="str">
        <f t="shared" si="25"/>
        <v xml:space="preserve"> </v>
      </c>
      <c r="K209" s="68" t="str">
        <f t="shared" si="26"/>
        <v xml:space="preserve"> </v>
      </c>
      <c r="L209" s="67" t="str">
        <f t="shared" si="27"/>
        <v xml:space="preserve"> </v>
      </c>
      <c r="M209" s="61"/>
      <c r="N209" s="61"/>
      <c r="O209" s="82" t="s">
        <v>33</v>
      </c>
      <c r="P209" s="120">
        <f>MIN(K196:K220)</f>
        <v>0</v>
      </c>
      <c r="Q209" s="95"/>
    </row>
    <row r="210" spans="1:17" ht="14.25" customHeight="1">
      <c r="A210" s="63"/>
      <c r="B210" s="63">
        <v>15</v>
      </c>
      <c r="C210" s="64"/>
      <c r="D210" s="65"/>
      <c r="E210" s="65"/>
      <c r="F210" s="93"/>
      <c r="G210" s="94"/>
      <c r="H210" s="95"/>
      <c r="I210" s="66" t="str">
        <f t="shared" si="24"/>
        <v xml:space="preserve"> </v>
      </c>
      <c r="J210" s="67" t="str">
        <f t="shared" si="25"/>
        <v xml:space="preserve"> </v>
      </c>
      <c r="K210" s="68" t="str">
        <f t="shared" si="26"/>
        <v xml:space="preserve"> </v>
      </c>
      <c r="L210" s="67" t="str">
        <f t="shared" si="27"/>
        <v xml:space="preserve"> </v>
      </c>
      <c r="M210" s="61"/>
      <c r="N210" s="61"/>
      <c r="O210" s="83" t="s">
        <v>34</v>
      </c>
      <c r="P210" s="121">
        <f>MIN(L196:L220)</f>
        <v>0</v>
      </c>
      <c r="Q210" s="122"/>
    </row>
    <row r="211" spans="1:17" ht="14.25" customHeight="1">
      <c r="A211" s="63"/>
      <c r="B211" s="63">
        <v>16</v>
      </c>
      <c r="C211" s="64"/>
      <c r="D211" s="65"/>
      <c r="E211" s="65"/>
      <c r="F211" s="93"/>
      <c r="G211" s="94"/>
      <c r="H211" s="95"/>
      <c r="I211" s="66" t="str">
        <f t="shared" si="24"/>
        <v xml:space="preserve"> </v>
      </c>
      <c r="J211" s="67" t="str">
        <f t="shared" si="25"/>
        <v xml:space="preserve"> </v>
      </c>
      <c r="K211" s="68" t="str">
        <f t="shared" si="26"/>
        <v xml:space="preserve"> </v>
      </c>
      <c r="L211" s="67" t="str">
        <f t="shared" si="27"/>
        <v xml:space="preserve"> </v>
      </c>
      <c r="M211" s="61"/>
      <c r="N211" s="61"/>
      <c r="O211" s="61"/>
    </row>
    <row r="212" spans="1:17" ht="14.25" customHeight="1">
      <c r="A212" s="63"/>
      <c r="B212" s="63">
        <v>17</v>
      </c>
      <c r="C212" s="64"/>
      <c r="D212" s="65"/>
      <c r="E212" s="65"/>
      <c r="F212" s="93"/>
      <c r="G212" s="94"/>
      <c r="H212" s="95"/>
      <c r="I212" s="66" t="str">
        <f t="shared" si="24"/>
        <v xml:space="preserve"> </v>
      </c>
      <c r="J212" s="67" t="str">
        <f t="shared" si="25"/>
        <v xml:space="preserve"> </v>
      </c>
      <c r="K212" s="68" t="str">
        <f t="shared" si="26"/>
        <v xml:space="preserve"> </v>
      </c>
      <c r="L212" s="67" t="str">
        <f t="shared" si="27"/>
        <v xml:space="preserve"> </v>
      </c>
      <c r="M212" s="61"/>
      <c r="N212" s="61"/>
      <c r="O212" s="61"/>
    </row>
    <row r="213" spans="1:17" ht="14.25" customHeight="1">
      <c r="A213" s="63"/>
      <c r="B213" s="63">
        <v>18</v>
      </c>
      <c r="C213" s="64"/>
      <c r="D213" s="65"/>
      <c r="E213" s="65"/>
      <c r="F213" s="93"/>
      <c r="G213" s="94"/>
      <c r="H213" s="95"/>
      <c r="I213" s="66" t="str">
        <f t="shared" si="24"/>
        <v xml:space="preserve"> </v>
      </c>
      <c r="J213" s="67" t="str">
        <f t="shared" si="25"/>
        <v xml:space="preserve"> </v>
      </c>
      <c r="K213" s="68" t="str">
        <f t="shared" si="26"/>
        <v xml:space="preserve"> </v>
      </c>
      <c r="L213" s="67" t="str">
        <f t="shared" si="27"/>
        <v xml:space="preserve"> </v>
      </c>
      <c r="M213" s="61"/>
      <c r="N213" s="61"/>
      <c r="O213" s="61"/>
    </row>
    <row r="214" spans="1:17" ht="14.25" customHeight="1">
      <c r="A214" s="63"/>
      <c r="B214" s="63">
        <v>19</v>
      </c>
      <c r="C214" s="64"/>
      <c r="D214" s="65"/>
      <c r="E214" s="65"/>
      <c r="F214" s="93"/>
      <c r="G214" s="94"/>
      <c r="H214" s="95"/>
      <c r="I214" s="66" t="str">
        <f t="shared" si="24"/>
        <v xml:space="preserve"> </v>
      </c>
      <c r="J214" s="67" t="str">
        <f t="shared" si="25"/>
        <v xml:space="preserve"> </v>
      </c>
      <c r="K214" s="68" t="str">
        <f t="shared" si="26"/>
        <v xml:space="preserve"> </v>
      </c>
      <c r="L214" s="67" t="str">
        <f t="shared" si="27"/>
        <v xml:space="preserve"> </v>
      </c>
      <c r="M214" s="61"/>
      <c r="N214" s="61"/>
      <c r="O214" s="61"/>
    </row>
    <row r="215" spans="1:17" ht="14.25" customHeight="1">
      <c r="A215" s="63"/>
      <c r="B215" s="63">
        <v>20</v>
      </c>
      <c r="C215" s="64"/>
      <c r="D215" s="65"/>
      <c r="E215" s="65"/>
      <c r="F215" s="93"/>
      <c r="G215" s="94"/>
      <c r="H215" s="95"/>
      <c r="I215" s="66" t="str">
        <f t="shared" si="24"/>
        <v xml:space="preserve"> </v>
      </c>
      <c r="J215" s="67" t="str">
        <f t="shared" si="25"/>
        <v xml:space="preserve"> </v>
      </c>
      <c r="K215" s="68" t="str">
        <f t="shared" si="26"/>
        <v xml:space="preserve"> </v>
      </c>
      <c r="L215" s="67" t="str">
        <f t="shared" si="27"/>
        <v xml:space="preserve"> </v>
      </c>
      <c r="M215" s="61"/>
      <c r="N215" s="61"/>
      <c r="O215" s="61"/>
    </row>
    <row r="216" spans="1:17" ht="14.25" customHeight="1">
      <c r="A216" s="63"/>
      <c r="B216" s="63">
        <v>21</v>
      </c>
      <c r="C216" s="64"/>
      <c r="D216" s="65"/>
      <c r="E216" s="65"/>
      <c r="F216" s="93"/>
      <c r="G216" s="94"/>
      <c r="H216" s="95"/>
      <c r="I216" s="66" t="str">
        <f t="shared" si="24"/>
        <v xml:space="preserve"> </v>
      </c>
      <c r="J216" s="67" t="str">
        <f t="shared" si="25"/>
        <v xml:space="preserve"> </v>
      </c>
      <c r="K216" s="68" t="str">
        <f t="shared" si="26"/>
        <v xml:space="preserve"> </v>
      </c>
      <c r="L216" s="67" t="str">
        <f t="shared" si="27"/>
        <v xml:space="preserve"> </v>
      </c>
      <c r="M216" s="61"/>
      <c r="N216" s="61"/>
      <c r="O216" s="61"/>
    </row>
    <row r="217" spans="1:17" ht="14.25" customHeight="1">
      <c r="A217" s="63"/>
      <c r="B217" s="63">
        <v>22</v>
      </c>
      <c r="C217" s="64"/>
      <c r="D217" s="65"/>
      <c r="E217" s="65"/>
      <c r="F217" s="93"/>
      <c r="G217" s="94"/>
      <c r="H217" s="95"/>
      <c r="I217" s="66" t="str">
        <f t="shared" si="24"/>
        <v xml:space="preserve"> </v>
      </c>
      <c r="J217" s="67" t="str">
        <f t="shared" si="25"/>
        <v xml:space="preserve"> </v>
      </c>
      <c r="K217" s="68" t="str">
        <f t="shared" si="26"/>
        <v xml:space="preserve"> </v>
      </c>
      <c r="L217" s="67" t="str">
        <f t="shared" si="27"/>
        <v xml:space="preserve"> </v>
      </c>
      <c r="M217" s="61"/>
      <c r="N217" s="61"/>
      <c r="O217" s="61"/>
    </row>
    <row r="218" spans="1:17" ht="14.25" customHeight="1">
      <c r="A218" s="63"/>
      <c r="B218" s="63">
        <v>23</v>
      </c>
      <c r="C218" s="64"/>
      <c r="D218" s="65"/>
      <c r="E218" s="65"/>
      <c r="F218" s="93"/>
      <c r="G218" s="94"/>
      <c r="H218" s="95"/>
      <c r="I218" s="66" t="str">
        <f t="shared" si="24"/>
        <v xml:space="preserve"> </v>
      </c>
      <c r="J218" s="67" t="str">
        <f t="shared" si="25"/>
        <v xml:space="preserve"> </v>
      </c>
      <c r="K218" s="68" t="str">
        <f t="shared" si="26"/>
        <v xml:space="preserve"> </v>
      </c>
      <c r="L218" s="67" t="str">
        <f t="shared" si="27"/>
        <v xml:space="preserve"> </v>
      </c>
      <c r="M218" s="61"/>
      <c r="N218" s="61"/>
      <c r="O218" s="61"/>
    </row>
    <row r="219" spans="1:17" ht="14.25" customHeight="1">
      <c r="A219" s="63"/>
      <c r="B219" s="63">
        <v>24</v>
      </c>
      <c r="C219" s="64"/>
      <c r="D219" s="65"/>
      <c r="E219" s="65"/>
      <c r="F219" s="93"/>
      <c r="G219" s="94"/>
      <c r="H219" s="95"/>
      <c r="I219" s="66" t="str">
        <f t="shared" si="24"/>
        <v xml:space="preserve"> </v>
      </c>
      <c r="J219" s="67" t="str">
        <f t="shared" si="25"/>
        <v xml:space="preserve"> </v>
      </c>
      <c r="K219" s="68" t="str">
        <f t="shared" si="26"/>
        <v xml:space="preserve"> </v>
      </c>
      <c r="L219" s="67" t="str">
        <f t="shared" si="27"/>
        <v xml:space="preserve"> </v>
      </c>
      <c r="M219" s="61"/>
      <c r="N219" s="61"/>
      <c r="O219" s="61"/>
    </row>
    <row r="220" spans="1:17" ht="14.25" customHeight="1">
      <c r="A220" s="63"/>
      <c r="B220" s="63">
        <v>25</v>
      </c>
      <c r="C220" s="87"/>
      <c r="D220" s="65"/>
      <c r="E220" s="65"/>
      <c r="F220" s="93"/>
      <c r="G220" s="94"/>
      <c r="H220" s="95"/>
      <c r="I220" s="66" t="str">
        <f t="shared" si="24"/>
        <v xml:space="preserve"> </v>
      </c>
      <c r="J220" s="67" t="str">
        <f t="shared" si="25"/>
        <v xml:space="preserve"> </v>
      </c>
      <c r="K220" s="68" t="str">
        <f t="shared" si="26"/>
        <v xml:space="preserve"> </v>
      </c>
      <c r="L220" s="67" t="str">
        <f t="shared" si="27"/>
        <v xml:space="preserve"> </v>
      </c>
      <c r="M220" s="61"/>
      <c r="N220" s="61"/>
      <c r="O220" s="61"/>
    </row>
    <row r="221" spans="1:17" ht="14.25" customHeight="1">
      <c r="A221" s="99" t="s">
        <v>35</v>
      </c>
      <c r="B221" s="84">
        <f>COUNT(I196:I220)</f>
        <v>0</v>
      </c>
      <c r="C221" s="84">
        <f>COUNT(K196:K220)</f>
        <v>0</v>
      </c>
      <c r="D221" s="84">
        <f>SUM(E196:E220)*2</f>
        <v>0</v>
      </c>
      <c r="E221" s="84"/>
      <c r="F221" s="84"/>
      <c r="G221" s="84"/>
      <c r="H221" s="84"/>
      <c r="I221" s="96" t="s">
        <v>36</v>
      </c>
      <c r="J221" s="97"/>
      <c r="K221" s="98" t="s">
        <v>37</v>
      </c>
      <c r="L221" s="97"/>
      <c r="M221" s="61"/>
      <c r="N221" s="61"/>
      <c r="O221" s="61"/>
    </row>
    <row r="222" spans="1:17" ht="14.25" customHeight="1">
      <c r="A222" s="105"/>
      <c r="B222" s="85"/>
      <c r="C222" s="85"/>
      <c r="D222" s="85"/>
      <c r="E222" s="85"/>
      <c r="F222" s="85"/>
      <c r="G222" s="85"/>
      <c r="H222" s="85"/>
      <c r="I222" s="99">
        <f>I190</f>
        <v>15</v>
      </c>
      <c r="J222" s="100"/>
      <c r="K222" s="103">
        <f>I222*D221*1.07</f>
        <v>0</v>
      </c>
      <c r="L222" s="100"/>
    </row>
    <row r="223" spans="1:17" ht="15.75" customHeight="1">
      <c r="A223" s="101"/>
      <c r="B223" s="86"/>
      <c r="C223" s="86"/>
      <c r="D223" s="86"/>
      <c r="E223" s="86"/>
      <c r="F223" s="86"/>
      <c r="G223" s="86"/>
      <c r="H223" s="86"/>
      <c r="I223" s="101"/>
      <c r="J223" s="102"/>
      <c r="K223" s="104"/>
      <c r="L223" s="102"/>
    </row>
    <row r="224" spans="1:17" ht="14.25" customHeight="1"/>
    <row r="225" spans="1:18" ht="14.25" customHeight="1"/>
    <row r="226" spans="1:18" ht="14.25" customHeight="1">
      <c r="A226" s="106" t="s">
        <v>2</v>
      </c>
      <c r="B226" s="107"/>
      <c r="C226" s="107"/>
      <c r="D226" s="107"/>
      <c r="E226" s="97"/>
      <c r="F226" s="106" t="s">
        <v>3</v>
      </c>
      <c r="G226" s="107"/>
      <c r="H226" s="97"/>
      <c r="I226" s="108" t="s">
        <v>4</v>
      </c>
      <c r="J226" s="109"/>
      <c r="K226" s="110" t="s">
        <v>5</v>
      </c>
      <c r="L226" s="109"/>
      <c r="O226" s="111" t="s">
        <v>7</v>
      </c>
      <c r="P226" s="107"/>
      <c r="Q226" s="107"/>
      <c r="R226" s="97"/>
    </row>
    <row r="227" spans="1:18" ht="14.25" customHeight="1">
      <c r="A227" s="55" t="s">
        <v>8</v>
      </c>
      <c r="B227" s="55" t="s">
        <v>9</v>
      </c>
      <c r="C227" s="55" t="s">
        <v>10</v>
      </c>
      <c r="D227" s="56" t="s">
        <v>11</v>
      </c>
      <c r="E227" s="57" t="s">
        <v>12</v>
      </c>
      <c r="F227" s="117" t="s">
        <v>11</v>
      </c>
      <c r="G227" s="104"/>
      <c r="H227" s="102"/>
      <c r="I227" s="58" t="s">
        <v>13</v>
      </c>
      <c r="J227" s="59" t="s">
        <v>14</v>
      </c>
      <c r="K227" s="60" t="s">
        <v>13</v>
      </c>
      <c r="L227" s="59" t="s">
        <v>14</v>
      </c>
      <c r="M227" s="61"/>
      <c r="N227" s="61"/>
      <c r="O227" s="112" t="s">
        <v>15</v>
      </c>
      <c r="P227" s="113"/>
      <c r="Q227" s="113"/>
      <c r="R227" s="114"/>
    </row>
    <row r="228" spans="1:18" ht="14.25" customHeight="1">
      <c r="A228" s="62">
        <v>42370</v>
      </c>
      <c r="B228" s="63">
        <v>1</v>
      </c>
      <c r="C228" s="64"/>
      <c r="D228" s="65"/>
      <c r="E228" s="65"/>
      <c r="F228" s="118"/>
      <c r="G228" s="119"/>
      <c r="H228" s="109"/>
      <c r="I228" s="66" t="str">
        <f t="shared" ref="I228:I252" si="28">IF(C228="L",IF(F228-D228&gt;0,F228-D228," "),IF(D228-F228&gt;0,D228-F228," "))</f>
        <v xml:space="preserve"> </v>
      </c>
      <c r="J228" s="67" t="str">
        <f t="shared" ref="J228:J252" si="29">IF(C228="L",IF(F228-D228&gt;0,(F228-D228)*200*E228," "),IF(D228-F228&gt;0,(D228-F228)*200*E228," "))</f>
        <v xml:space="preserve"> </v>
      </c>
      <c r="K228" s="68" t="str">
        <f t="shared" ref="K228:K252" si="30">IF(C228="L",IF(F228-D228&lt;0,F228-D228," "),IF(D228-F228&lt;0,D228-F228," "))</f>
        <v xml:space="preserve"> </v>
      </c>
      <c r="L228" s="67" t="str">
        <f t="shared" ref="L228:L252" si="31">IF(C228="L",IF(F228-D228&lt;0,(F228-D228)*200*E228," "),IF(D228-F228&lt;0,(D228-F228)*200*E228," "))</f>
        <v xml:space="preserve"> </v>
      </c>
      <c r="M228" s="61"/>
      <c r="N228" s="61"/>
      <c r="O228" s="22" t="s">
        <v>19</v>
      </c>
      <c r="P228" s="23">
        <f>B253+C253</f>
        <v>0</v>
      </c>
      <c r="Q228" s="115"/>
      <c r="R228" s="116"/>
    </row>
    <row r="229" spans="1:18" ht="14.25" customHeight="1">
      <c r="A229" s="63"/>
      <c r="B229" s="63">
        <v>2</v>
      </c>
      <c r="C229" s="64"/>
      <c r="D229" s="65"/>
      <c r="E229" s="65"/>
      <c r="F229" s="93"/>
      <c r="G229" s="94"/>
      <c r="H229" s="95"/>
      <c r="I229" s="66" t="str">
        <f t="shared" si="28"/>
        <v xml:space="preserve"> </v>
      </c>
      <c r="J229" s="67" t="str">
        <f t="shared" si="29"/>
        <v xml:space="preserve"> </v>
      </c>
      <c r="K229" s="68" t="str">
        <f t="shared" si="30"/>
        <v xml:space="preserve"> </v>
      </c>
      <c r="L229" s="67" t="str">
        <f t="shared" si="31"/>
        <v xml:space="preserve"> </v>
      </c>
      <c r="M229" s="61"/>
      <c r="N229" s="61"/>
      <c r="O229" s="70" t="s">
        <v>20</v>
      </c>
      <c r="P229" s="71" t="e">
        <f>B253/P228*100</f>
        <v>#DIV/0!</v>
      </c>
      <c r="Q229" s="72" t="s">
        <v>21</v>
      </c>
      <c r="R229" s="73" t="e">
        <f>C253/P228*100</f>
        <v>#DIV/0!</v>
      </c>
    </row>
    <row r="230" spans="1:18" ht="14.25" customHeight="1">
      <c r="A230" s="63"/>
      <c r="B230" s="63">
        <v>3</v>
      </c>
      <c r="C230" s="64"/>
      <c r="D230" s="65"/>
      <c r="E230" s="65"/>
      <c r="F230" s="93"/>
      <c r="G230" s="94"/>
      <c r="H230" s="95"/>
      <c r="I230" s="66" t="str">
        <f t="shared" si="28"/>
        <v xml:space="preserve"> </v>
      </c>
      <c r="J230" s="67" t="str">
        <f t="shared" si="29"/>
        <v xml:space="preserve"> </v>
      </c>
      <c r="K230" s="68" t="str">
        <f t="shared" si="30"/>
        <v xml:space="preserve"> </v>
      </c>
      <c r="L230" s="67" t="str">
        <f t="shared" si="31"/>
        <v xml:space="preserve"> </v>
      </c>
      <c r="M230" s="61"/>
      <c r="N230" s="61"/>
      <c r="O230" s="70" t="s">
        <v>22</v>
      </c>
      <c r="P230" s="74" t="e">
        <f>SUM(I228:I252)/B253</f>
        <v>#DIV/0!</v>
      </c>
      <c r="Q230" s="72" t="s">
        <v>23</v>
      </c>
      <c r="R230" s="75" t="e">
        <f>SUM(K228:K252)/C253</f>
        <v>#DIV/0!</v>
      </c>
    </row>
    <row r="231" spans="1:18" ht="14.25" customHeight="1">
      <c r="A231" s="63"/>
      <c r="B231" s="63">
        <v>4</v>
      </c>
      <c r="C231" s="64"/>
      <c r="D231" s="65"/>
      <c r="E231" s="65"/>
      <c r="F231" s="93"/>
      <c r="G231" s="94"/>
      <c r="H231" s="95"/>
      <c r="I231" s="66" t="str">
        <f t="shared" si="28"/>
        <v xml:space="preserve"> </v>
      </c>
      <c r="J231" s="67" t="str">
        <f t="shared" si="29"/>
        <v xml:space="preserve"> </v>
      </c>
      <c r="K231" s="68" t="str">
        <f t="shared" si="30"/>
        <v xml:space="preserve"> </v>
      </c>
      <c r="L231" s="67" t="str">
        <f t="shared" si="31"/>
        <v xml:space="preserve"> </v>
      </c>
      <c r="M231" s="61"/>
      <c r="N231" s="61"/>
      <c r="O231" s="76" t="s">
        <v>24</v>
      </c>
      <c r="P231" s="77">
        <f>SUM(J228:J252)</f>
        <v>0</v>
      </c>
      <c r="Q231" s="78" t="s">
        <v>25</v>
      </c>
      <c r="R231" s="79">
        <f>SUM(L228:L252)</f>
        <v>0</v>
      </c>
    </row>
    <row r="232" spans="1:18" ht="14.25" customHeight="1">
      <c r="A232" s="63"/>
      <c r="B232" s="63">
        <v>5</v>
      </c>
      <c r="C232" s="64"/>
      <c r="D232" s="65"/>
      <c r="E232" s="65"/>
      <c r="F232" s="93"/>
      <c r="G232" s="94"/>
      <c r="H232" s="95"/>
      <c r="I232" s="66" t="str">
        <f t="shared" si="28"/>
        <v xml:space="preserve"> </v>
      </c>
      <c r="J232" s="67" t="str">
        <f t="shared" si="29"/>
        <v xml:space="preserve"> </v>
      </c>
      <c r="K232" s="68" t="str">
        <f t="shared" si="30"/>
        <v xml:space="preserve"> </v>
      </c>
      <c r="L232" s="67" t="str">
        <f t="shared" si="31"/>
        <v xml:space="preserve"> </v>
      </c>
      <c r="M232" s="61"/>
      <c r="N232" s="61"/>
      <c r="O232" s="128" t="s">
        <v>26</v>
      </c>
      <c r="P232" s="119"/>
      <c r="Q232" s="119"/>
      <c r="R232" s="109"/>
    </row>
    <row r="233" spans="1:18" ht="14.25" customHeight="1">
      <c r="A233" s="63"/>
      <c r="B233" s="63">
        <v>6</v>
      </c>
      <c r="C233" s="64"/>
      <c r="D233" s="65"/>
      <c r="E233" s="65"/>
      <c r="F233" s="93"/>
      <c r="G233" s="94"/>
      <c r="H233" s="95"/>
      <c r="I233" s="66" t="str">
        <f t="shared" si="28"/>
        <v xml:space="preserve"> </v>
      </c>
      <c r="J233" s="67" t="str">
        <f t="shared" si="29"/>
        <v xml:space="preserve"> </v>
      </c>
      <c r="K233" s="68" t="str">
        <f t="shared" si="30"/>
        <v xml:space="preserve"> </v>
      </c>
      <c r="L233" s="67" t="str">
        <f t="shared" si="31"/>
        <v xml:space="preserve"> </v>
      </c>
      <c r="M233" s="61"/>
      <c r="N233" s="61"/>
      <c r="O233" s="129" t="s">
        <v>27</v>
      </c>
      <c r="P233" s="131">
        <f>P231+R231-K254</f>
        <v>0</v>
      </c>
      <c r="Q233" s="129" t="s">
        <v>28</v>
      </c>
      <c r="R233" s="133" t="e">
        <f>K254/P233</f>
        <v>#DIV/0!</v>
      </c>
    </row>
    <row r="234" spans="1:18" ht="14.25" customHeight="1">
      <c r="A234" s="63"/>
      <c r="B234" s="63">
        <v>7</v>
      </c>
      <c r="C234" s="64"/>
      <c r="D234" s="65"/>
      <c r="E234" s="65"/>
      <c r="F234" s="93"/>
      <c r="G234" s="94"/>
      <c r="H234" s="95"/>
      <c r="I234" s="66" t="str">
        <f t="shared" si="28"/>
        <v xml:space="preserve"> </v>
      </c>
      <c r="J234" s="67" t="str">
        <f t="shared" si="29"/>
        <v xml:space="preserve"> </v>
      </c>
      <c r="K234" s="68" t="str">
        <f t="shared" si="30"/>
        <v xml:space="preserve"> </v>
      </c>
      <c r="L234" s="67" t="str">
        <f t="shared" si="31"/>
        <v xml:space="preserve"> </v>
      </c>
      <c r="M234" s="61"/>
      <c r="N234" s="61"/>
      <c r="O234" s="130"/>
      <c r="P234" s="132"/>
      <c r="Q234" s="130"/>
      <c r="R234" s="132"/>
    </row>
    <row r="235" spans="1:18" ht="14.25" customHeight="1">
      <c r="A235" s="63"/>
      <c r="B235" s="63">
        <v>8</v>
      </c>
      <c r="C235" s="64"/>
      <c r="D235" s="65"/>
      <c r="E235" s="65"/>
      <c r="F235" s="93"/>
      <c r="G235" s="94"/>
      <c r="H235" s="95"/>
      <c r="I235" s="66" t="str">
        <f t="shared" si="28"/>
        <v xml:space="preserve"> </v>
      </c>
      <c r="J235" s="67" t="str">
        <f t="shared" si="29"/>
        <v xml:space="preserve"> </v>
      </c>
      <c r="K235" s="68" t="str">
        <f t="shared" si="30"/>
        <v xml:space="preserve"> </v>
      </c>
      <c r="L235" s="67" t="str">
        <f t="shared" si="31"/>
        <v xml:space="preserve"> </v>
      </c>
      <c r="M235" s="61"/>
      <c r="N235" s="61"/>
      <c r="O235" s="124" t="s">
        <v>29</v>
      </c>
      <c r="P235" s="125"/>
      <c r="Q235" s="100"/>
      <c r="R235" s="126" t="e">
        <f>IF(R231&lt;0,((P229*P230/100)+(R229*R230/100)),P230)</f>
        <v>#DIV/0!</v>
      </c>
    </row>
    <row r="236" spans="1:18" ht="14.25" customHeight="1">
      <c r="A236" s="63"/>
      <c r="B236" s="63">
        <v>9</v>
      </c>
      <c r="C236" s="64"/>
      <c r="D236" s="65"/>
      <c r="E236" s="65"/>
      <c r="F236" s="93"/>
      <c r="G236" s="94"/>
      <c r="H236" s="95"/>
      <c r="I236" s="66" t="str">
        <f t="shared" si="28"/>
        <v xml:space="preserve"> </v>
      </c>
      <c r="J236" s="67" t="str">
        <f t="shared" si="29"/>
        <v xml:space="preserve"> </v>
      </c>
      <c r="K236" s="68" t="str">
        <f t="shared" si="30"/>
        <v xml:space="preserve"> </v>
      </c>
      <c r="L236" s="67" t="str">
        <f t="shared" si="31"/>
        <v xml:space="preserve"> </v>
      </c>
      <c r="M236" s="61"/>
      <c r="N236" s="61"/>
      <c r="O236" s="101"/>
      <c r="P236" s="104"/>
      <c r="Q236" s="102"/>
      <c r="R236" s="127"/>
    </row>
    <row r="237" spans="1:18" ht="14.25" customHeight="1">
      <c r="A237" s="63"/>
      <c r="B237" s="63">
        <v>10</v>
      </c>
      <c r="C237" s="64"/>
      <c r="D237" s="65"/>
      <c r="E237" s="65"/>
      <c r="F237" s="93"/>
      <c r="G237" s="94"/>
      <c r="H237" s="95"/>
      <c r="I237" s="66" t="str">
        <f t="shared" si="28"/>
        <v xml:space="preserve"> </v>
      </c>
      <c r="J237" s="67" t="str">
        <f t="shared" si="29"/>
        <v xml:space="preserve"> </v>
      </c>
      <c r="K237" s="68" t="str">
        <f t="shared" si="30"/>
        <v xml:space="preserve"> </v>
      </c>
      <c r="L237" s="67" t="str">
        <f t="shared" si="31"/>
        <v xml:space="preserve"> </v>
      </c>
      <c r="M237" s="61"/>
      <c r="N237" s="61"/>
    </row>
    <row r="238" spans="1:18" ht="14.25" customHeight="1">
      <c r="A238" s="63"/>
      <c r="B238" s="63">
        <v>11</v>
      </c>
      <c r="C238" s="64"/>
      <c r="D238" s="65"/>
      <c r="E238" s="65"/>
      <c r="F238" s="93"/>
      <c r="G238" s="94"/>
      <c r="H238" s="95"/>
      <c r="I238" s="66" t="str">
        <f t="shared" si="28"/>
        <v xml:space="preserve"> </v>
      </c>
      <c r="J238" s="67" t="str">
        <f t="shared" si="29"/>
        <v xml:space="preserve"> </v>
      </c>
      <c r="K238" s="68" t="str">
        <f t="shared" si="30"/>
        <v xml:space="preserve"> </v>
      </c>
      <c r="L238" s="67" t="str">
        <f t="shared" si="31"/>
        <v xml:space="preserve"> </v>
      </c>
      <c r="M238" s="61"/>
      <c r="N238" s="61"/>
      <c r="O238" s="134" t="s">
        <v>30</v>
      </c>
      <c r="P238" s="107"/>
      <c r="Q238" s="97"/>
    </row>
    <row r="239" spans="1:18" ht="14.25" customHeight="1">
      <c r="A239" s="63"/>
      <c r="B239" s="63">
        <v>12</v>
      </c>
      <c r="C239" s="64"/>
      <c r="D239" s="65"/>
      <c r="E239" s="65"/>
      <c r="F239" s="93"/>
      <c r="G239" s="94"/>
      <c r="H239" s="95"/>
      <c r="I239" s="66" t="str">
        <f t="shared" si="28"/>
        <v xml:space="preserve"> </v>
      </c>
      <c r="J239" s="67" t="str">
        <f t="shared" si="29"/>
        <v xml:space="preserve"> </v>
      </c>
      <c r="K239" s="68" t="str">
        <f t="shared" si="30"/>
        <v xml:space="preserve"> </v>
      </c>
      <c r="L239" s="67" t="str">
        <f t="shared" si="31"/>
        <v xml:space="preserve"> </v>
      </c>
      <c r="M239" s="61"/>
      <c r="N239" s="61"/>
      <c r="O239" s="80" t="s">
        <v>31</v>
      </c>
      <c r="P239" s="135">
        <f>MAX(I228:I252)</f>
        <v>0</v>
      </c>
      <c r="Q239" s="95"/>
    </row>
    <row r="240" spans="1:18" ht="14.25" customHeight="1">
      <c r="A240" s="63"/>
      <c r="B240" s="63">
        <v>13</v>
      </c>
      <c r="C240" s="64"/>
      <c r="D240" s="65"/>
      <c r="E240" s="65"/>
      <c r="F240" s="93"/>
      <c r="G240" s="94"/>
      <c r="H240" s="95"/>
      <c r="I240" s="66" t="str">
        <f t="shared" si="28"/>
        <v xml:space="preserve"> </v>
      </c>
      <c r="J240" s="67" t="str">
        <f t="shared" si="29"/>
        <v xml:space="preserve"> </v>
      </c>
      <c r="K240" s="68" t="str">
        <f t="shared" si="30"/>
        <v xml:space="preserve"> </v>
      </c>
      <c r="L240" s="67" t="str">
        <f t="shared" si="31"/>
        <v xml:space="preserve"> </v>
      </c>
      <c r="M240" s="61"/>
      <c r="N240" s="61"/>
      <c r="O240" s="81" t="s">
        <v>32</v>
      </c>
      <c r="P240" s="123">
        <f>MAX(J228:J252)</f>
        <v>0</v>
      </c>
      <c r="Q240" s="95"/>
    </row>
    <row r="241" spans="1:17" ht="14.25" customHeight="1">
      <c r="A241" s="63"/>
      <c r="B241" s="63">
        <v>14</v>
      </c>
      <c r="C241" s="64"/>
      <c r="D241" s="65"/>
      <c r="E241" s="65"/>
      <c r="F241" s="93"/>
      <c r="G241" s="94"/>
      <c r="H241" s="95"/>
      <c r="I241" s="66" t="str">
        <f t="shared" si="28"/>
        <v xml:space="preserve"> </v>
      </c>
      <c r="J241" s="67" t="str">
        <f t="shared" si="29"/>
        <v xml:space="preserve"> </v>
      </c>
      <c r="K241" s="68" t="str">
        <f t="shared" si="30"/>
        <v xml:space="preserve"> </v>
      </c>
      <c r="L241" s="67" t="str">
        <f t="shared" si="31"/>
        <v xml:space="preserve"> </v>
      </c>
      <c r="M241" s="61"/>
      <c r="N241" s="61"/>
      <c r="O241" s="82" t="s">
        <v>33</v>
      </c>
      <c r="P241" s="120">
        <f>MIN(K228:K252)</f>
        <v>0</v>
      </c>
      <c r="Q241" s="95"/>
    </row>
    <row r="242" spans="1:17" ht="14.25" customHeight="1">
      <c r="A242" s="63"/>
      <c r="B242" s="63">
        <v>15</v>
      </c>
      <c r="C242" s="64"/>
      <c r="D242" s="65"/>
      <c r="E242" s="65"/>
      <c r="F242" s="93"/>
      <c r="G242" s="94"/>
      <c r="H242" s="95"/>
      <c r="I242" s="66" t="str">
        <f t="shared" si="28"/>
        <v xml:space="preserve"> </v>
      </c>
      <c r="J242" s="67" t="str">
        <f t="shared" si="29"/>
        <v xml:space="preserve"> </v>
      </c>
      <c r="K242" s="68" t="str">
        <f t="shared" si="30"/>
        <v xml:space="preserve"> </v>
      </c>
      <c r="L242" s="67" t="str">
        <f t="shared" si="31"/>
        <v xml:space="preserve"> </v>
      </c>
      <c r="M242" s="61"/>
      <c r="N242" s="61"/>
      <c r="O242" s="83" t="s">
        <v>34</v>
      </c>
      <c r="P242" s="121">
        <f>MIN(L228:L252)</f>
        <v>0</v>
      </c>
      <c r="Q242" s="122"/>
    </row>
    <row r="243" spans="1:17" ht="14.25" customHeight="1">
      <c r="A243" s="63"/>
      <c r="B243" s="63">
        <v>16</v>
      </c>
      <c r="C243" s="64"/>
      <c r="D243" s="65"/>
      <c r="E243" s="65"/>
      <c r="F243" s="93"/>
      <c r="G243" s="94"/>
      <c r="H243" s="95"/>
      <c r="I243" s="66" t="str">
        <f t="shared" si="28"/>
        <v xml:space="preserve"> </v>
      </c>
      <c r="J243" s="67" t="str">
        <f t="shared" si="29"/>
        <v xml:space="preserve"> </v>
      </c>
      <c r="K243" s="68" t="str">
        <f t="shared" si="30"/>
        <v xml:space="preserve"> </v>
      </c>
      <c r="L243" s="67" t="str">
        <f t="shared" si="31"/>
        <v xml:space="preserve"> </v>
      </c>
      <c r="M243" s="61"/>
      <c r="N243" s="61"/>
      <c r="O243" s="61"/>
    </row>
    <row r="244" spans="1:17" ht="14.25" customHeight="1">
      <c r="A244" s="63"/>
      <c r="B244" s="63">
        <v>17</v>
      </c>
      <c r="C244" s="64"/>
      <c r="D244" s="65"/>
      <c r="E244" s="65"/>
      <c r="F244" s="93"/>
      <c r="G244" s="94"/>
      <c r="H244" s="95"/>
      <c r="I244" s="66" t="str">
        <f t="shared" si="28"/>
        <v xml:space="preserve"> </v>
      </c>
      <c r="J244" s="67" t="str">
        <f t="shared" si="29"/>
        <v xml:space="preserve"> </v>
      </c>
      <c r="K244" s="68" t="str">
        <f t="shared" si="30"/>
        <v xml:space="preserve"> </v>
      </c>
      <c r="L244" s="67" t="str">
        <f t="shared" si="31"/>
        <v xml:space="preserve"> </v>
      </c>
      <c r="M244" s="61"/>
      <c r="N244" s="61"/>
      <c r="O244" s="61"/>
    </row>
    <row r="245" spans="1:17" ht="14.25" customHeight="1">
      <c r="A245" s="63"/>
      <c r="B245" s="63">
        <v>18</v>
      </c>
      <c r="C245" s="64"/>
      <c r="D245" s="65"/>
      <c r="E245" s="65"/>
      <c r="F245" s="93"/>
      <c r="G245" s="94"/>
      <c r="H245" s="95"/>
      <c r="I245" s="66" t="str">
        <f t="shared" si="28"/>
        <v xml:space="preserve"> </v>
      </c>
      <c r="J245" s="67" t="str">
        <f t="shared" si="29"/>
        <v xml:space="preserve"> </v>
      </c>
      <c r="K245" s="68" t="str">
        <f t="shared" si="30"/>
        <v xml:space="preserve"> </v>
      </c>
      <c r="L245" s="67" t="str">
        <f t="shared" si="31"/>
        <v xml:space="preserve"> </v>
      </c>
      <c r="M245" s="61"/>
      <c r="N245" s="61"/>
      <c r="O245" s="61"/>
    </row>
    <row r="246" spans="1:17" ht="14.25" customHeight="1">
      <c r="A246" s="63"/>
      <c r="B246" s="63">
        <v>19</v>
      </c>
      <c r="C246" s="64"/>
      <c r="D246" s="65"/>
      <c r="E246" s="65"/>
      <c r="F246" s="93"/>
      <c r="G246" s="94"/>
      <c r="H246" s="95"/>
      <c r="I246" s="66" t="str">
        <f t="shared" si="28"/>
        <v xml:space="preserve"> </v>
      </c>
      <c r="J246" s="67" t="str">
        <f t="shared" si="29"/>
        <v xml:space="preserve"> </v>
      </c>
      <c r="K246" s="68" t="str">
        <f t="shared" si="30"/>
        <v xml:space="preserve"> </v>
      </c>
      <c r="L246" s="67" t="str">
        <f t="shared" si="31"/>
        <v xml:space="preserve"> </v>
      </c>
      <c r="M246" s="61"/>
      <c r="N246" s="61"/>
      <c r="O246" s="61"/>
    </row>
    <row r="247" spans="1:17" ht="14.25" customHeight="1">
      <c r="A247" s="63"/>
      <c r="B247" s="63">
        <v>20</v>
      </c>
      <c r="C247" s="64"/>
      <c r="D247" s="65"/>
      <c r="E247" s="65"/>
      <c r="F247" s="93"/>
      <c r="G247" s="94"/>
      <c r="H247" s="95"/>
      <c r="I247" s="66" t="str">
        <f t="shared" si="28"/>
        <v xml:space="preserve"> </v>
      </c>
      <c r="J247" s="67" t="str">
        <f t="shared" si="29"/>
        <v xml:space="preserve"> </v>
      </c>
      <c r="K247" s="68" t="str">
        <f t="shared" si="30"/>
        <v xml:space="preserve"> </v>
      </c>
      <c r="L247" s="67" t="str">
        <f t="shared" si="31"/>
        <v xml:space="preserve"> </v>
      </c>
      <c r="M247" s="61"/>
      <c r="N247" s="61"/>
      <c r="O247" s="61"/>
    </row>
    <row r="248" spans="1:17" ht="14.25" customHeight="1">
      <c r="A248" s="63"/>
      <c r="B248" s="63">
        <v>21</v>
      </c>
      <c r="C248" s="64"/>
      <c r="D248" s="65"/>
      <c r="E248" s="65"/>
      <c r="F248" s="93"/>
      <c r="G248" s="94"/>
      <c r="H248" s="95"/>
      <c r="I248" s="66" t="str">
        <f t="shared" si="28"/>
        <v xml:space="preserve"> </v>
      </c>
      <c r="J248" s="67" t="str">
        <f t="shared" si="29"/>
        <v xml:space="preserve"> </v>
      </c>
      <c r="K248" s="68" t="str">
        <f t="shared" si="30"/>
        <v xml:space="preserve"> </v>
      </c>
      <c r="L248" s="67" t="str">
        <f t="shared" si="31"/>
        <v xml:space="preserve"> </v>
      </c>
      <c r="M248" s="61"/>
      <c r="N248" s="61"/>
      <c r="O248" s="61"/>
    </row>
    <row r="249" spans="1:17" ht="14.25" customHeight="1">
      <c r="A249" s="63"/>
      <c r="B249" s="63">
        <v>22</v>
      </c>
      <c r="C249" s="64"/>
      <c r="D249" s="65"/>
      <c r="E249" s="65"/>
      <c r="F249" s="93"/>
      <c r="G249" s="94"/>
      <c r="H249" s="95"/>
      <c r="I249" s="66" t="str">
        <f t="shared" si="28"/>
        <v xml:space="preserve"> </v>
      </c>
      <c r="J249" s="67" t="str">
        <f t="shared" si="29"/>
        <v xml:space="preserve"> </v>
      </c>
      <c r="K249" s="68" t="str">
        <f t="shared" si="30"/>
        <v xml:space="preserve"> </v>
      </c>
      <c r="L249" s="67" t="str">
        <f t="shared" si="31"/>
        <v xml:space="preserve"> </v>
      </c>
      <c r="M249" s="61"/>
      <c r="N249" s="61"/>
      <c r="O249" s="61"/>
    </row>
    <row r="250" spans="1:17" ht="14.25" customHeight="1">
      <c r="A250" s="63"/>
      <c r="B250" s="63">
        <v>23</v>
      </c>
      <c r="C250" s="64"/>
      <c r="D250" s="65"/>
      <c r="E250" s="65"/>
      <c r="F250" s="93"/>
      <c r="G250" s="94"/>
      <c r="H250" s="95"/>
      <c r="I250" s="66" t="str">
        <f t="shared" si="28"/>
        <v xml:space="preserve"> </v>
      </c>
      <c r="J250" s="67" t="str">
        <f t="shared" si="29"/>
        <v xml:space="preserve"> </v>
      </c>
      <c r="K250" s="68" t="str">
        <f t="shared" si="30"/>
        <v xml:space="preserve"> </v>
      </c>
      <c r="L250" s="67" t="str">
        <f t="shared" si="31"/>
        <v xml:space="preserve"> </v>
      </c>
      <c r="M250" s="61"/>
      <c r="N250" s="61"/>
      <c r="O250" s="61"/>
    </row>
    <row r="251" spans="1:17" ht="14.25" customHeight="1">
      <c r="A251" s="63"/>
      <c r="B251" s="63">
        <v>24</v>
      </c>
      <c r="C251" s="64"/>
      <c r="D251" s="65"/>
      <c r="E251" s="65"/>
      <c r="F251" s="93"/>
      <c r="G251" s="94"/>
      <c r="H251" s="95"/>
      <c r="I251" s="66" t="str">
        <f t="shared" si="28"/>
        <v xml:space="preserve"> </v>
      </c>
      <c r="J251" s="67" t="str">
        <f t="shared" si="29"/>
        <v xml:space="preserve"> </v>
      </c>
      <c r="K251" s="68" t="str">
        <f t="shared" si="30"/>
        <v xml:space="preserve"> </v>
      </c>
      <c r="L251" s="67" t="str">
        <f t="shared" si="31"/>
        <v xml:space="preserve"> </v>
      </c>
      <c r="M251" s="61"/>
      <c r="N251" s="61"/>
      <c r="O251" s="61"/>
    </row>
    <row r="252" spans="1:17" ht="14.25" customHeight="1">
      <c r="A252" s="63"/>
      <c r="B252" s="63">
        <v>25</v>
      </c>
      <c r="C252" s="87"/>
      <c r="D252" s="65"/>
      <c r="E252" s="65"/>
      <c r="F252" s="93"/>
      <c r="G252" s="94"/>
      <c r="H252" s="95"/>
      <c r="I252" s="66" t="str">
        <f t="shared" si="28"/>
        <v xml:space="preserve"> </v>
      </c>
      <c r="J252" s="67" t="str">
        <f t="shared" si="29"/>
        <v xml:space="preserve"> </v>
      </c>
      <c r="K252" s="68" t="str">
        <f t="shared" si="30"/>
        <v xml:space="preserve"> </v>
      </c>
      <c r="L252" s="67" t="str">
        <f t="shared" si="31"/>
        <v xml:space="preserve"> </v>
      </c>
      <c r="M252" s="61"/>
      <c r="N252" s="61"/>
      <c r="O252" s="61"/>
    </row>
    <row r="253" spans="1:17" ht="14.25" customHeight="1">
      <c r="A253" s="99" t="s">
        <v>35</v>
      </c>
      <c r="B253" s="84">
        <f>COUNT(I228:I252)</f>
        <v>0</v>
      </c>
      <c r="C253" s="84">
        <f>COUNT(K228:K252)</f>
        <v>0</v>
      </c>
      <c r="D253" s="84">
        <f>SUM(E228:E252)*2</f>
        <v>0</v>
      </c>
      <c r="E253" s="84"/>
      <c r="F253" s="84"/>
      <c r="G253" s="84"/>
      <c r="H253" s="84"/>
      <c r="I253" s="96" t="s">
        <v>36</v>
      </c>
      <c r="J253" s="97"/>
      <c r="K253" s="98" t="s">
        <v>37</v>
      </c>
      <c r="L253" s="97"/>
      <c r="M253" s="61"/>
      <c r="N253" s="61"/>
      <c r="O253" s="61"/>
    </row>
    <row r="254" spans="1:17" ht="14.25" customHeight="1">
      <c r="A254" s="105"/>
      <c r="B254" s="85"/>
      <c r="C254" s="85"/>
      <c r="D254" s="85"/>
      <c r="E254" s="85"/>
      <c r="F254" s="85"/>
      <c r="G254" s="85"/>
      <c r="H254" s="85"/>
      <c r="I254" s="99">
        <f>I222</f>
        <v>15</v>
      </c>
      <c r="J254" s="100"/>
      <c r="K254" s="103">
        <f>I254*D253*1.07</f>
        <v>0</v>
      </c>
      <c r="L254" s="100"/>
    </row>
    <row r="255" spans="1:17" ht="15.75" customHeight="1">
      <c r="A255" s="101"/>
      <c r="B255" s="86"/>
      <c r="C255" s="86"/>
      <c r="D255" s="86"/>
      <c r="E255" s="86"/>
      <c r="F255" s="86"/>
      <c r="G255" s="86"/>
      <c r="H255" s="86"/>
      <c r="I255" s="101"/>
      <c r="J255" s="102"/>
      <c r="K255" s="104"/>
      <c r="L255" s="102"/>
    </row>
    <row r="256" spans="1:17" ht="14.25" customHeight="1"/>
    <row r="257" spans="1:18" ht="14.25" customHeight="1"/>
    <row r="258" spans="1:18" ht="14.25" customHeight="1">
      <c r="A258" s="106" t="s">
        <v>2</v>
      </c>
      <c r="B258" s="107"/>
      <c r="C258" s="107"/>
      <c r="D258" s="107"/>
      <c r="E258" s="97"/>
      <c r="F258" s="106" t="s">
        <v>3</v>
      </c>
      <c r="G258" s="107"/>
      <c r="H258" s="97"/>
      <c r="I258" s="108" t="s">
        <v>4</v>
      </c>
      <c r="J258" s="109"/>
      <c r="K258" s="110" t="s">
        <v>5</v>
      </c>
      <c r="L258" s="109"/>
      <c r="O258" s="111" t="s">
        <v>7</v>
      </c>
      <c r="P258" s="107"/>
      <c r="Q258" s="107"/>
      <c r="R258" s="97"/>
    </row>
    <row r="259" spans="1:18" ht="14.25" customHeight="1">
      <c r="A259" s="55" t="s">
        <v>8</v>
      </c>
      <c r="B259" s="55" t="s">
        <v>9</v>
      </c>
      <c r="C259" s="55" t="s">
        <v>10</v>
      </c>
      <c r="D259" s="56" t="s">
        <v>11</v>
      </c>
      <c r="E259" s="57" t="s">
        <v>12</v>
      </c>
      <c r="F259" s="117" t="s">
        <v>11</v>
      </c>
      <c r="G259" s="104"/>
      <c r="H259" s="102"/>
      <c r="I259" s="58" t="s">
        <v>13</v>
      </c>
      <c r="J259" s="59" t="s">
        <v>14</v>
      </c>
      <c r="K259" s="60" t="s">
        <v>13</v>
      </c>
      <c r="L259" s="59" t="s">
        <v>14</v>
      </c>
      <c r="M259" s="61"/>
      <c r="N259" s="61"/>
      <c r="O259" s="112" t="s">
        <v>15</v>
      </c>
      <c r="P259" s="113"/>
      <c r="Q259" s="113"/>
      <c r="R259" s="114"/>
    </row>
    <row r="260" spans="1:18" ht="14.25" customHeight="1">
      <c r="A260" s="62">
        <v>42370</v>
      </c>
      <c r="B260" s="63">
        <v>1</v>
      </c>
      <c r="C260" s="64"/>
      <c r="D260" s="65"/>
      <c r="E260" s="65"/>
      <c r="F260" s="118"/>
      <c r="G260" s="119"/>
      <c r="H260" s="109"/>
      <c r="I260" s="66" t="str">
        <f t="shared" ref="I260:I284" si="32">IF(C260="L",IF(F260-D260&gt;0,F260-D260," "),IF(D260-F260&gt;0,D260-F260," "))</f>
        <v xml:space="preserve"> </v>
      </c>
      <c r="J260" s="67" t="str">
        <f t="shared" ref="J260:J284" si="33">IF(C260="L",IF(F260-D260&gt;0,(F260-D260)*200*E260," "),IF(D260-F260&gt;0,(D260-F260)*200*E260," "))</f>
        <v xml:space="preserve"> </v>
      </c>
      <c r="K260" s="68" t="str">
        <f t="shared" ref="K260:K284" si="34">IF(C260="L",IF(F260-D260&lt;0,F260-D260," "),IF(D260-F260&lt;0,D260-F260," "))</f>
        <v xml:space="preserve"> </v>
      </c>
      <c r="L260" s="67" t="str">
        <f t="shared" ref="L260:L284" si="35">IF(C260="L",IF(F260-D260&lt;0,(F260-D260)*200*E260," "),IF(D260-F260&lt;0,(D260-F260)*200*E260," "))</f>
        <v xml:space="preserve"> </v>
      </c>
      <c r="M260" s="61"/>
      <c r="N260" s="61"/>
      <c r="O260" s="22" t="s">
        <v>19</v>
      </c>
      <c r="P260" s="23">
        <f>B285+C285</f>
        <v>0</v>
      </c>
      <c r="Q260" s="115"/>
      <c r="R260" s="116"/>
    </row>
    <row r="261" spans="1:18" ht="14.25" customHeight="1">
      <c r="A261" s="63"/>
      <c r="B261" s="63">
        <v>2</v>
      </c>
      <c r="C261" s="64"/>
      <c r="D261" s="65"/>
      <c r="E261" s="65"/>
      <c r="F261" s="93"/>
      <c r="G261" s="94"/>
      <c r="H261" s="95"/>
      <c r="I261" s="66" t="str">
        <f t="shared" si="32"/>
        <v xml:space="preserve"> </v>
      </c>
      <c r="J261" s="67" t="str">
        <f t="shared" si="33"/>
        <v xml:space="preserve"> </v>
      </c>
      <c r="K261" s="68" t="str">
        <f t="shared" si="34"/>
        <v xml:space="preserve"> </v>
      </c>
      <c r="L261" s="67" t="str">
        <f t="shared" si="35"/>
        <v xml:space="preserve"> </v>
      </c>
      <c r="M261" s="61"/>
      <c r="N261" s="61"/>
      <c r="O261" s="70" t="s">
        <v>20</v>
      </c>
      <c r="P261" s="71" t="e">
        <f>B285/P260*100</f>
        <v>#DIV/0!</v>
      </c>
      <c r="Q261" s="72" t="s">
        <v>21</v>
      </c>
      <c r="R261" s="73" t="e">
        <f>C285/P260*100</f>
        <v>#DIV/0!</v>
      </c>
    </row>
    <row r="262" spans="1:18" ht="14.25" customHeight="1">
      <c r="A262" s="63"/>
      <c r="B262" s="63">
        <v>3</v>
      </c>
      <c r="C262" s="64"/>
      <c r="D262" s="65"/>
      <c r="E262" s="65"/>
      <c r="F262" s="93"/>
      <c r="G262" s="94"/>
      <c r="H262" s="95"/>
      <c r="I262" s="66" t="str">
        <f t="shared" si="32"/>
        <v xml:space="preserve"> </v>
      </c>
      <c r="J262" s="67" t="str">
        <f t="shared" si="33"/>
        <v xml:space="preserve"> </v>
      </c>
      <c r="K262" s="68" t="str">
        <f t="shared" si="34"/>
        <v xml:space="preserve"> </v>
      </c>
      <c r="L262" s="67" t="str">
        <f t="shared" si="35"/>
        <v xml:space="preserve"> </v>
      </c>
      <c r="M262" s="61"/>
      <c r="N262" s="61"/>
      <c r="O262" s="70" t="s">
        <v>22</v>
      </c>
      <c r="P262" s="74" t="e">
        <f>SUM(I260:I284)/B285</f>
        <v>#DIV/0!</v>
      </c>
      <c r="Q262" s="72" t="s">
        <v>23</v>
      </c>
      <c r="R262" s="75" t="e">
        <f>SUM(K260:K284)/C285</f>
        <v>#DIV/0!</v>
      </c>
    </row>
    <row r="263" spans="1:18" ht="14.25" customHeight="1">
      <c r="A263" s="63"/>
      <c r="B263" s="63">
        <v>4</v>
      </c>
      <c r="C263" s="64"/>
      <c r="D263" s="65"/>
      <c r="E263" s="65"/>
      <c r="F263" s="93"/>
      <c r="G263" s="94"/>
      <c r="H263" s="95"/>
      <c r="I263" s="66" t="str">
        <f t="shared" si="32"/>
        <v xml:space="preserve"> </v>
      </c>
      <c r="J263" s="67" t="str">
        <f t="shared" si="33"/>
        <v xml:space="preserve"> </v>
      </c>
      <c r="K263" s="68" t="str">
        <f t="shared" si="34"/>
        <v xml:space="preserve"> </v>
      </c>
      <c r="L263" s="67" t="str">
        <f t="shared" si="35"/>
        <v xml:space="preserve"> </v>
      </c>
      <c r="M263" s="61"/>
      <c r="N263" s="61"/>
      <c r="O263" s="76" t="s">
        <v>24</v>
      </c>
      <c r="P263" s="77">
        <f>SUM(J260:J284)</f>
        <v>0</v>
      </c>
      <c r="Q263" s="78" t="s">
        <v>25</v>
      </c>
      <c r="R263" s="79">
        <f>SUM(L260:L284)</f>
        <v>0</v>
      </c>
    </row>
    <row r="264" spans="1:18" ht="14.25" customHeight="1">
      <c r="A264" s="63"/>
      <c r="B264" s="63">
        <v>5</v>
      </c>
      <c r="C264" s="64"/>
      <c r="D264" s="65"/>
      <c r="E264" s="65"/>
      <c r="F264" s="93"/>
      <c r="G264" s="94"/>
      <c r="H264" s="95"/>
      <c r="I264" s="66" t="str">
        <f t="shared" si="32"/>
        <v xml:space="preserve"> </v>
      </c>
      <c r="J264" s="67" t="str">
        <f t="shared" si="33"/>
        <v xml:space="preserve"> </v>
      </c>
      <c r="K264" s="68" t="str">
        <f t="shared" si="34"/>
        <v xml:space="preserve"> </v>
      </c>
      <c r="L264" s="67" t="str">
        <f t="shared" si="35"/>
        <v xml:space="preserve"> </v>
      </c>
      <c r="M264" s="61"/>
      <c r="N264" s="61"/>
      <c r="O264" s="128" t="s">
        <v>26</v>
      </c>
      <c r="P264" s="119"/>
      <c r="Q264" s="119"/>
      <c r="R264" s="109"/>
    </row>
    <row r="265" spans="1:18" ht="14.25" customHeight="1">
      <c r="A265" s="63"/>
      <c r="B265" s="63">
        <v>6</v>
      </c>
      <c r="C265" s="64"/>
      <c r="D265" s="65"/>
      <c r="E265" s="65"/>
      <c r="F265" s="93"/>
      <c r="G265" s="94"/>
      <c r="H265" s="95"/>
      <c r="I265" s="66" t="str">
        <f t="shared" si="32"/>
        <v xml:space="preserve"> </v>
      </c>
      <c r="J265" s="67" t="str">
        <f t="shared" si="33"/>
        <v xml:space="preserve"> </v>
      </c>
      <c r="K265" s="68" t="str">
        <f t="shared" si="34"/>
        <v xml:space="preserve"> </v>
      </c>
      <c r="L265" s="67" t="str">
        <f t="shared" si="35"/>
        <v xml:space="preserve"> </v>
      </c>
      <c r="M265" s="61"/>
      <c r="N265" s="61"/>
      <c r="O265" s="129" t="s">
        <v>27</v>
      </c>
      <c r="P265" s="131">
        <f>P263+R263-K286</f>
        <v>0</v>
      </c>
      <c r="Q265" s="129" t="s">
        <v>28</v>
      </c>
      <c r="R265" s="133" t="e">
        <f>K286/P265</f>
        <v>#DIV/0!</v>
      </c>
    </row>
    <row r="266" spans="1:18" ht="14.25" customHeight="1">
      <c r="A266" s="63"/>
      <c r="B266" s="63">
        <v>7</v>
      </c>
      <c r="C266" s="64"/>
      <c r="D266" s="65"/>
      <c r="E266" s="65"/>
      <c r="F266" s="93"/>
      <c r="G266" s="94"/>
      <c r="H266" s="95"/>
      <c r="I266" s="66" t="str">
        <f t="shared" si="32"/>
        <v xml:space="preserve"> </v>
      </c>
      <c r="J266" s="67" t="str">
        <f t="shared" si="33"/>
        <v xml:space="preserve"> </v>
      </c>
      <c r="K266" s="68" t="str">
        <f t="shared" si="34"/>
        <v xml:space="preserve"> </v>
      </c>
      <c r="L266" s="67" t="str">
        <f t="shared" si="35"/>
        <v xml:space="preserve"> </v>
      </c>
      <c r="M266" s="61"/>
      <c r="N266" s="61"/>
      <c r="O266" s="130"/>
      <c r="P266" s="132"/>
      <c r="Q266" s="130"/>
      <c r="R266" s="132"/>
    </row>
    <row r="267" spans="1:18" ht="14.25" customHeight="1">
      <c r="A267" s="63"/>
      <c r="B267" s="63">
        <v>8</v>
      </c>
      <c r="C267" s="64"/>
      <c r="D267" s="65"/>
      <c r="E267" s="65"/>
      <c r="F267" s="93"/>
      <c r="G267" s="94"/>
      <c r="H267" s="95"/>
      <c r="I267" s="66" t="str">
        <f t="shared" si="32"/>
        <v xml:space="preserve"> </v>
      </c>
      <c r="J267" s="67" t="str">
        <f t="shared" si="33"/>
        <v xml:space="preserve"> </v>
      </c>
      <c r="K267" s="68" t="str">
        <f t="shared" si="34"/>
        <v xml:space="preserve"> </v>
      </c>
      <c r="L267" s="67" t="str">
        <f t="shared" si="35"/>
        <v xml:space="preserve"> </v>
      </c>
      <c r="M267" s="61"/>
      <c r="N267" s="61"/>
      <c r="O267" s="124" t="s">
        <v>29</v>
      </c>
      <c r="P267" s="125"/>
      <c r="Q267" s="100"/>
      <c r="R267" s="126" t="e">
        <f>IF(R263&lt;0,((P261*P262/100)+(R261*R262/100)),P262)</f>
        <v>#DIV/0!</v>
      </c>
    </row>
    <row r="268" spans="1:18" ht="14.25" customHeight="1">
      <c r="A268" s="63"/>
      <c r="B268" s="63">
        <v>9</v>
      </c>
      <c r="C268" s="64"/>
      <c r="D268" s="65"/>
      <c r="E268" s="65"/>
      <c r="F268" s="93"/>
      <c r="G268" s="94"/>
      <c r="H268" s="95"/>
      <c r="I268" s="66" t="str">
        <f t="shared" si="32"/>
        <v xml:space="preserve"> </v>
      </c>
      <c r="J268" s="67" t="str">
        <f t="shared" si="33"/>
        <v xml:space="preserve"> </v>
      </c>
      <c r="K268" s="68" t="str">
        <f t="shared" si="34"/>
        <v xml:space="preserve"> </v>
      </c>
      <c r="L268" s="67" t="str">
        <f t="shared" si="35"/>
        <v xml:space="preserve"> </v>
      </c>
      <c r="M268" s="61"/>
      <c r="N268" s="61"/>
      <c r="O268" s="101"/>
      <c r="P268" s="104"/>
      <c r="Q268" s="102"/>
      <c r="R268" s="127"/>
    </row>
    <row r="269" spans="1:18" ht="14.25" customHeight="1">
      <c r="A269" s="63"/>
      <c r="B269" s="63">
        <v>10</v>
      </c>
      <c r="C269" s="64"/>
      <c r="D269" s="65"/>
      <c r="E269" s="65"/>
      <c r="F269" s="93"/>
      <c r="G269" s="94"/>
      <c r="H269" s="95"/>
      <c r="I269" s="66" t="str">
        <f t="shared" si="32"/>
        <v xml:space="preserve"> </v>
      </c>
      <c r="J269" s="67" t="str">
        <f t="shared" si="33"/>
        <v xml:space="preserve"> </v>
      </c>
      <c r="K269" s="68" t="str">
        <f t="shared" si="34"/>
        <v xml:space="preserve"> </v>
      </c>
      <c r="L269" s="67" t="str">
        <f t="shared" si="35"/>
        <v xml:space="preserve"> </v>
      </c>
      <c r="M269" s="61"/>
      <c r="N269" s="61"/>
    </row>
    <row r="270" spans="1:18" ht="14.25" customHeight="1">
      <c r="A270" s="63"/>
      <c r="B270" s="63">
        <v>11</v>
      </c>
      <c r="C270" s="64"/>
      <c r="D270" s="65"/>
      <c r="E270" s="65"/>
      <c r="F270" s="93"/>
      <c r="G270" s="94"/>
      <c r="H270" s="95"/>
      <c r="I270" s="66" t="str">
        <f t="shared" si="32"/>
        <v xml:space="preserve"> </v>
      </c>
      <c r="J270" s="67" t="str">
        <f t="shared" si="33"/>
        <v xml:space="preserve"> </v>
      </c>
      <c r="K270" s="68" t="str">
        <f t="shared" si="34"/>
        <v xml:space="preserve"> </v>
      </c>
      <c r="L270" s="67" t="str">
        <f t="shared" si="35"/>
        <v xml:space="preserve"> </v>
      </c>
      <c r="M270" s="61"/>
      <c r="N270" s="61"/>
      <c r="O270" s="134" t="s">
        <v>30</v>
      </c>
      <c r="P270" s="107"/>
      <c r="Q270" s="97"/>
    </row>
    <row r="271" spans="1:18" ht="14.25" customHeight="1">
      <c r="A271" s="63"/>
      <c r="B271" s="63">
        <v>12</v>
      </c>
      <c r="C271" s="64"/>
      <c r="D271" s="65"/>
      <c r="E271" s="65"/>
      <c r="F271" s="93"/>
      <c r="G271" s="94"/>
      <c r="H271" s="95"/>
      <c r="I271" s="66" t="str">
        <f t="shared" si="32"/>
        <v xml:space="preserve"> </v>
      </c>
      <c r="J271" s="67" t="str">
        <f t="shared" si="33"/>
        <v xml:space="preserve"> </v>
      </c>
      <c r="K271" s="68" t="str">
        <f t="shared" si="34"/>
        <v xml:space="preserve"> </v>
      </c>
      <c r="L271" s="67" t="str">
        <f t="shared" si="35"/>
        <v xml:space="preserve"> </v>
      </c>
      <c r="M271" s="61"/>
      <c r="N271" s="61"/>
      <c r="O271" s="80" t="s">
        <v>31</v>
      </c>
      <c r="P271" s="135">
        <f>MAX(I260:I284)</f>
        <v>0</v>
      </c>
      <c r="Q271" s="95"/>
    </row>
    <row r="272" spans="1:18" ht="14.25" customHeight="1">
      <c r="A272" s="63"/>
      <c r="B272" s="63">
        <v>13</v>
      </c>
      <c r="C272" s="64"/>
      <c r="D272" s="65"/>
      <c r="E272" s="65"/>
      <c r="F272" s="93"/>
      <c r="G272" s="94"/>
      <c r="H272" s="95"/>
      <c r="I272" s="66" t="str">
        <f t="shared" si="32"/>
        <v xml:space="preserve"> </v>
      </c>
      <c r="J272" s="67" t="str">
        <f t="shared" si="33"/>
        <v xml:space="preserve"> </v>
      </c>
      <c r="K272" s="68" t="str">
        <f t="shared" si="34"/>
        <v xml:space="preserve"> </v>
      </c>
      <c r="L272" s="67" t="str">
        <f t="shared" si="35"/>
        <v xml:space="preserve"> </v>
      </c>
      <c r="M272" s="61"/>
      <c r="N272" s="61"/>
      <c r="O272" s="81" t="s">
        <v>32</v>
      </c>
      <c r="P272" s="123">
        <f>MAX(J260:J284)</f>
        <v>0</v>
      </c>
      <c r="Q272" s="95"/>
    </row>
    <row r="273" spans="1:17" ht="14.25" customHeight="1">
      <c r="A273" s="63"/>
      <c r="B273" s="63">
        <v>14</v>
      </c>
      <c r="C273" s="64"/>
      <c r="D273" s="65"/>
      <c r="E273" s="65"/>
      <c r="F273" s="93"/>
      <c r="G273" s="94"/>
      <c r="H273" s="95"/>
      <c r="I273" s="66" t="str">
        <f t="shared" si="32"/>
        <v xml:space="preserve"> </v>
      </c>
      <c r="J273" s="67" t="str">
        <f t="shared" si="33"/>
        <v xml:space="preserve"> </v>
      </c>
      <c r="K273" s="68" t="str">
        <f t="shared" si="34"/>
        <v xml:space="preserve"> </v>
      </c>
      <c r="L273" s="67" t="str">
        <f t="shared" si="35"/>
        <v xml:space="preserve"> </v>
      </c>
      <c r="M273" s="61"/>
      <c r="N273" s="61"/>
      <c r="O273" s="82" t="s">
        <v>33</v>
      </c>
      <c r="P273" s="120">
        <f>MIN(K260:K284)</f>
        <v>0</v>
      </c>
      <c r="Q273" s="95"/>
    </row>
    <row r="274" spans="1:17" ht="14.25" customHeight="1">
      <c r="A274" s="63"/>
      <c r="B274" s="63">
        <v>15</v>
      </c>
      <c r="C274" s="64"/>
      <c r="D274" s="65"/>
      <c r="E274" s="65"/>
      <c r="F274" s="93"/>
      <c r="G274" s="94"/>
      <c r="H274" s="95"/>
      <c r="I274" s="66" t="str">
        <f t="shared" si="32"/>
        <v xml:space="preserve"> </v>
      </c>
      <c r="J274" s="67" t="str">
        <f t="shared" si="33"/>
        <v xml:space="preserve"> </v>
      </c>
      <c r="K274" s="68" t="str">
        <f t="shared" si="34"/>
        <v xml:space="preserve"> </v>
      </c>
      <c r="L274" s="67" t="str">
        <f t="shared" si="35"/>
        <v xml:space="preserve"> </v>
      </c>
      <c r="M274" s="61"/>
      <c r="N274" s="61"/>
      <c r="O274" s="83" t="s">
        <v>34</v>
      </c>
      <c r="P274" s="121">
        <f>MIN(L260:L284)</f>
        <v>0</v>
      </c>
      <c r="Q274" s="122"/>
    </row>
    <row r="275" spans="1:17" ht="14.25" customHeight="1">
      <c r="A275" s="63"/>
      <c r="B275" s="63">
        <v>16</v>
      </c>
      <c r="C275" s="64"/>
      <c r="D275" s="65"/>
      <c r="E275" s="65"/>
      <c r="F275" s="93"/>
      <c r="G275" s="94"/>
      <c r="H275" s="95"/>
      <c r="I275" s="66" t="str">
        <f t="shared" si="32"/>
        <v xml:space="preserve"> </v>
      </c>
      <c r="J275" s="67" t="str">
        <f t="shared" si="33"/>
        <v xml:space="preserve"> </v>
      </c>
      <c r="K275" s="68" t="str">
        <f t="shared" si="34"/>
        <v xml:space="preserve"> </v>
      </c>
      <c r="L275" s="67" t="str">
        <f t="shared" si="35"/>
        <v xml:space="preserve"> </v>
      </c>
      <c r="M275" s="61"/>
      <c r="N275" s="61"/>
      <c r="O275" s="61"/>
    </row>
    <row r="276" spans="1:17" ht="14.25" customHeight="1">
      <c r="A276" s="63"/>
      <c r="B276" s="63">
        <v>17</v>
      </c>
      <c r="C276" s="64"/>
      <c r="D276" s="65"/>
      <c r="E276" s="65"/>
      <c r="F276" s="93"/>
      <c r="G276" s="94"/>
      <c r="H276" s="95"/>
      <c r="I276" s="66" t="str">
        <f t="shared" si="32"/>
        <v xml:space="preserve"> </v>
      </c>
      <c r="J276" s="67" t="str">
        <f t="shared" si="33"/>
        <v xml:space="preserve"> </v>
      </c>
      <c r="K276" s="68" t="str">
        <f t="shared" si="34"/>
        <v xml:space="preserve"> </v>
      </c>
      <c r="L276" s="67" t="str">
        <f t="shared" si="35"/>
        <v xml:space="preserve"> </v>
      </c>
      <c r="M276" s="61"/>
      <c r="N276" s="61"/>
      <c r="O276" s="61"/>
    </row>
    <row r="277" spans="1:17" ht="14.25" customHeight="1">
      <c r="A277" s="63"/>
      <c r="B277" s="63">
        <v>18</v>
      </c>
      <c r="C277" s="64"/>
      <c r="D277" s="65"/>
      <c r="E277" s="65"/>
      <c r="F277" s="93"/>
      <c r="G277" s="94"/>
      <c r="H277" s="95"/>
      <c r="I277" s="66" t="str">
        <f t="shared" si="32"/>
        <v xml:space="preserve"> </v>
      </c>
      <c r="J277" s="67" t="str">
        <f t="shared" si="33"/>
        <v xml:space="preserve"> </v>
      </c>
      <c r="K277" s="68" t="str">
        <f t="shared" si="34"/>
        <v xml:space="preserve"> </v>
      </c>
      <c r="L277" s="67" t="str">
        <f t="shared" si="35"/>
        <v xml:space="preserve"> </v>
      </c>
      <c r="M277" s="61"/>
      <c r="N277" s="61"/>
      <c r="O277" s="61"/>
    </row>
    <row r="278" spans="1:17" ht="14.25" customHeight="1">
      <c r="A278" s="63"/>
      <c r="B278" s="63">
        <v>19</v>
      </c>
      <c r="C278" s="64"/>
      <c r="D278" s="65"/>
      <c r="E278" s="65"/>
      <c r="F278" s="93"/>
      <c r="G278" s="94"/>
      <c r="H278" s="95"/>
      <c r="I278" s="66" t="str">
        <f t="shared" si="32"/>
        <v xml:space="preserve"> </v>
      </c>
      <c r="J278" s="67" t="str">
        <f t="shared" si="33"/>
        <v xml:space="preserve"> </v>
      </c>
      <c r="K278" s="68" t="str">
        <f t="shared" si="34"/>
        <v xml:space="preserve"> </v>
      </c>
      <c r="L278" s="67" t="str">
        <f t="shared" si="35"/>
        <v xml:space="preserve"> </v>
      </c>
      <c r="M278" s="61"/>
      <c r="N278" s="61"/>
      <c r="O278" s="61"/>
    </row>
    <row r="279" spans="1:17" ht="14.25" customHeight="1">
      <c r="A279" s="63"/>
      <c r="B279" s="63">
        <v>20</v>
      </c>
      <c r="C279" s="64"/>
      <c r="D279" s="65"/>
      <c r="E279" s="65"/>
      <c r="F279" s="93"/>
      <c r="G279" s="94"/>
      <c r="H279" s="95"/>
      <c r="I279" s="66" t="str">
        <f t="shared" si="32"/>
        <v xml:space="preserve"> </v>
      </c>
      <c r="J279" s="67" t="str">
        <f t="shared" si="33"/>
        <v xml:space="preserve"> </v>
      </c>
      <c r="K279" s="68" t="str">
        <f t="shared" si="34"/>
        <v xml:space="preserve"> </v>
      </c>
      <c r="L279" s="67" t="str">
        <f t="shared" si="35"/>
        <v xml:space="preserve"> </v>
      </c>
      <c r="M279" s="61"/>
      <c r="N279" s="61"/>
      <c r="O279" s="61"/>
    </row>
    <row r="280" spans="1:17" ht="14.25" customHeight="1">
      <c r="A280" s="63"/>
      <c r="B280" s="63">
        <v>21</v>
      </c>
      <c r="C280" s="64"/>
      <c r="D280" s="65"/>
      <c r="E280" s="65"/>
      <c r="F280" s="93"/>
      <c r="G280" s="94"/>
      <c r="H280" s="95"/>
      <c r="I280" s="66" t="str">
        <f t="shared" si="32"/>
        <v xml:space="preserve"> </v>
      </c>
      <c r="J280" s="67" t="str">
        <f t="shared" si="33"/>
        <v xml:space="preserve"> </v>
      </c>
      <c r="K280" s="68" t="str">
        <f t="shared" si="34"/>
        <v xml:space="preserve"> </v>
      </c>
      <c r="L280" s="67" t="str">
        <f t="shared" si="35"/>
        <v xml:space="preserve"> </v>
      </c>
      <c r="M280" s="61"/>
      <c r="N280" s="61"/>
      <c r="O280" s="61"/>
    </row>
    <row r="281" spans="1:17" ht="14.25" customHeight="1">
      <c r="A281" s="63"/>
      <c r="B281" s="63">
        <v>22</v>
      </c>
      <c r="C281" s="64"/>
      <c r="D281" s="65"/>
      <c r="E281" s="65"/>
      <c r="F281" s="93"/>
      <c r="G281" s="94"/>
      <c r="H281" s="95"/>
      <c r="I281" s="66" t="str">
        <f t="shared" si="32"/>
        <v xml:space="preserve"> </v>
      </c>
      <c r="J281" s="67" t="str">
        <f t="shared" si="33"/>
        <v xml:space="preserve"> </v>
      </c>
      <c r="K281" s="68" t="str">
        <f t="shared" si="34"/>
        <v xml:space="preserve"> </v>
      </c>
      <c r="L281" s="67" t="str">
        <f t="shared" si="35"/>
        <v xml:space="preserve"> </v>
      </c>
      <c r="M281" s="61"/>
      <c r="N281" s="61"/>
      <c r="O281" s="61"/>
    </row>
    <row r="282" spans="1:17" ht="14.25" customHeight="1">
      <c r="A282" s="63"/>
      <c r="B282" s="63">
        <v>23</v>
      </c>
      <c r="C282" s="64"/>
      <c r="D282" s="65"/>
      <c r="E282" s="65"/>
      <c r="F282" s="93"/>
      <c r="G282" s="94"/>
      <c r="H282" s="95"/>
      <c r="I282" s="66" t="str">
        <f t="shared" si="32"/>
        <v xml:space="preserve"> </v>
      </c>
      <c r="J282" s="67" t="str">
        <f t="shared" si="33"/>
        <v xml:space="preserve"> </v>
      </c>
      <c r="K282" s="68" t="str">
        <f t="shared" si="34"/>
        <v xml:space="preserve"> </v>
      </c>
      <c r="L282" s="67" t="str">
        <f t="shared" si="35"/>
        <v xml:space="preserve"> </v>
      </c>
      <c r="M282" s="61"/>
      <c r="N282" s="61"/>
      <c r="O282" s="61"/>
    </row>
    <row r="283" spans="1:17" ht="14.25" customHeight="1">
      <c r="A283" s="63"/>
      <c r="B283" s="63">
        <v>24</v>
      </c>
      <c r="C283" s="64"/>
      <c r="D283" s="65"/>
      <c r="E283" s="65"/>
      <c r="F283" s="93"/>
      <c r="G283" s="94"/>
      <c r="H283" s="95"/>
      <c r="I283" s="66" t="str">
        <f t="shared" si="32"/>
        <v xml:space="preserve"> </v>
      </c>
      <c r="J283" s="67" t="str">
        <f t="shared" si="33"/>
        <v xml:space="preserve"> </v>
      </c>
      <c r="K283" s="68" t="str">
        <f t="shared" si="34"/>
        <v xml:space="preserve"> </v>
      </c>
      <c r="L283" s="67" t="str">
        <f t="shared" si="35"/>
        <v xml:space="preserve"> </v>
      </c>
      <c r="M283" s="61"/>
      <c r="N283" s="61"/>
      <c r="O283" s="61"/>
    </row>
    <row r="284" spans="1:17" ht="14.25" customHeight="1">
      <c r="A284" s="63"/>
      <c r="B284" s="63">
        <v>25</v>
      </c>
      <c r="C284" s="87"/>
      <c r="D284" s="65"/>
      <c r="E284" s="65"/>
      <c r="F284" s="93"/>
      <c r="G284" s="94"/>
      <c r="H284" s="95"/>
      <c r="I284" s="66" t="str">
        <f t="shared" si="32"/>
        <v xml:space="preserve"> </v>
      </c>
      <c r="J284" s="67" t="str">
        <f t="shared" si="33"/>
        <v xml:space="preserve"> </v>
      </c>
      <c r="K284" s="68" t="str">
        <f t="shared" si="34"/>
        <v xml:space="preserve"> </v>
      </c>
      <c r="L284" s="67" t="str">
        <f t="shared" si="35"/>
        <v xml:space="preserve"> </v>
      </c>
      <c r="M284" s="61"/>
      <c r="N284" s="61"/>
      <c r="O284" s="61"/>
    </row>
    <row r="285" spans="1:17" ht="14.25" customHeight="1">
      <c r="A285" s="99" t="s">
        <v>35</v>
      </c>
      <c r="B285" s="84">
        <f>COUNT(I260:I284)</f>
        <v>0</v>
      </c>
      <c r="C285" s="84">
        <f>COUNT(K260:K284)</f>
        <v>0</v>
      </c>
      <c r="D285" s="84">
        <f>SUM(E260:E284)*2</f>
        <v>0</v>
      </c>
      <c r="E285" s="84"/>
      <c r="F285" s="84"/>
      <c r="G285" s="84"/>
      <c r="H285" s="84"/>
      <c r="I285" s="96" t="s">
        <v>36</v>
      </c>
      <c r="J285" s="97"/>
      <c r="K285" s="98" t="s">
        <v>37</v>
      </c>
      <c r="L285" s="97"/>
      <c r="M285" s="61"/>
      <c r="N285" s="61"/>
      <c r="O285" s="61"/>
    </row>
    <row r="286" spans="1:17" ht="14.25" customHeight="1">
      <c r="A286" s="105"/>
      <c r="B286" s="85"/>
      <c r="C286" s="85"/>
      <c r="D286" s="85"/>
      <c r="E286" s="85"/>
      <c r="F286" s="85"/>
      <c r="G286" s="85"/>
      <c r="H286" s="85"/>
      <c r="I286" s="99">
        <f>I254</f>
        <v>15</v>
      </c>
      <c r="J286" s="100"/>
      <c r="K286" s="103">
        <f>I286*D285*1.07</f>
        <v>0</v>
      </c>
      <c r="L286" s="100"/>
    </row>
    <row r="287" spans="1:17" ht="15.75" customHeight="1">
      <c r="A287" s="101"/>
      <c r="B287" s="86"/>
      <c r="C287" s="86"/>
      <c r="D287" s="86"/>
      <c r="E287" s="86"/>
      <c r="F287" s="86"/>
      <c r="G287" s="86"/>
      <c r="H287" s="86"/>
      <c r="I287" s="101"/>
      <c r="J287" s="102"/>
      <c r="K287" s="104"/>
      <c r="L287" s="102"/>
    </row>
    <row r="288" spans="1:17" ht="14.25" customHeight="1"/>
    <row r="289" spans="1:18" ht="14.25" customHeight="1"/>
    <row r="290" spans="1:18" ht="14.25" customHeight="1">
      <c r="A290" s="106" t="s">
        <v>2</v>
      </c>
      <c r="B290" s="107"/>
      <c r="C290" s="107"/>
      <c r="D290" s="107"/>
      <c r="E290" s="97"/>
      <c r="F290" s="106" t="s">
        <v>3</v>
      </c>
      <c r="G290" s="107"/>
      <c r="H290" s="97"/>
      <c r="I290" s="108" t="s">
        <v>4</v>
      </c>
      <c r="J290" s="109"/>
      <c r="K290" s="110" t="s">
        <v>5</v>
      </c>
      <c r="L290" s="109"/>
      <c r="O290" s="111" t="s">
        <v>7</v>
      </c>
      <c r="P290" s="107"/>
      <c r="Q290" s="107"/>
      <c r="R290" s="97"/>
    </row>
    <row r="291" spans="1:18" ht="14.25" customHeight="1">
      <c r="A291" s="55" t="s">
        <v>8</v>
      </c>
      <c r="B291" s="55" t="s">
        <v>9</v>
      </c>
      <c r="C291" s="55" t="s">
        <v>10</v>
      </c>
      <c r="D291" s="56" t="s">
        <v>11</v>
      </c>
      <c r="E291" s="57" t="s">
        <v>12</v>
      </c>
      <c r="F291" s="117" t="s">
        <v>11</v>
      </c>
      <c r="G291" s="104"/>
      <c r="H291" s="102"/>
      <c r="I291" s="58" t="s">
        <v>13</v>
      </c>
      <c r="J291" s="59" t="s">
        <v>14</v>
      </c>
      <c r="K291" s="60" t="s">
        <v>13</v>
      </c>
      <c r="L291" s="59" t="s">
        <v>14</v>
      </c>
      <c r="M291" s="61"/>
      <c r="N291" s="61"/>
      <c r="O291" s="112" t="s">
        <v>15</v>
      </c>
      <c r="P291" s="113"/>
      <c r="Q291" s="113"/>
      <c r="R291" s="114"/>
    </row>
    <row r="292" spans="1:18" ht="14.25" customHeight="1">
      <c r="A292" s="62">
        <v>42370</v>
      </c>
      <c r="B292" s="63">
        <v>1</v>
      </c>
      <c r="C292" s="64"/>
      <c r="D292" s="65"/>
      <c r="E292" s="65"/>
      <c r="F292" s="118"/>
      <c r="G292" s="119"/>
      <c r="H292" s="109"/>
      <c r="I292" s="66" t="str">
        <f t="shared" ref="I292:I316" si="36">IF(C292="L",IF(F292-D292&gt;0,F292-D292," "),IF(D292-F292&gt;0,D292-F292," "))</f>
        <v xml:space="preserve"> </v>
      </c>
      <c r="J292" s="67" t="str">
        <f t="shared" ref="J292:J316" si="37">IF(C292="L",IF(F292-D292&gt;0,(F292-D292)*200*E292," "),IF(D292-F292&gt;0,(D292-F292)*200*E292," "))</f>
        <v xml:space="preserve"> </v>
      </c>
      <c r="K292" s="68" t="str">
        <f t="shared" ref="K292:K316" si="38">IF(C292="L",IF(F292-D292&lt;0,F292-D292," "),IF(D292-F292&lt;0,D292-F292," "))</f>
        <v xml:space="preserve"> </v>
      </c>
      <c r="L292" s="67" t="str">
        <f t="shared" ref="L292:L316" si="39">IF(C292="L",IF(F292-D292&lt;0,(F292-D292)*200*E292," "),IF(D292-F292&lt;0,(D292-F292)*200*E292," "))</f>
        <v xml:space="preserve"> </v>
      </c>
      <c r="M292" s="61"/>
      <c r="N292" s="61"/>
      <c r="O292" s="22" t="s">
        <v>19</v>
      </c>
      <c r="P292" s="23">
        <f>B317+C317</f>
        <v>0</v>
      </c>
      <c r="Q292" s="115"/>
      <c r="R292" s="116"/>
    </row>
    <row r="293" spans="1:18" ht="14.25" customHeight="1">
      <c r="A293" s="63"/>
      <c r="B293" s="63">
        <v>2</v>
      </c>
      <c r="C293" s="64"/>
      <c r="D293" s="65"/>
      <c r="E293" s="65"/>
      <c r="F293" s="93"/>
      <c r="G293" s="94"/>
      <c r="H293" s="95"/>
      <c r="I293" s="66" t="str">
        <f t="shared" si="36"/>
        <v xml:space="preserve"> </v>
      </c>
      <c r="J293" s="67" t="str">
        <f t="shared" si="37"/>
        <v xml:space="preserve"> </v>
      </c>
      <c r="K293" s="68" t="str">
        <f t="shared" si="38"/>
        <v xml:space="preserve"> </v>
      </c>
      <c r="L293" s="67" t="str">
        <f t="shared" si="39"/>
        <v xml:space="preserve"> </v>
      </c>
      <c r="M293" s="61"/>
      <c r="N293" s="61"/>
      <c r="O293" s="70" t="s">
        <v>20</v>
      </c>
      <c r="P293" s="71" t="e">
        <f>B317/P292*100</f>
        <v>#DIV/0!</v>
      </c>
      <c r="Q293" s="72" t="s">
        <v>21</v>
      </c>
      <c r="R293" s="73" t="e">
        <f>C317/P292*100</f>
        <v>#DIV/0!</v>
      </c>
    </row>
    <row r="294" spans="1:18" ht="14.25" customHeight="1">
      <c r="A294" s="63"/>
      <c r="B294" s="63">
        <v>3</v>
      </c>
      <c r="C294" s="64"/>
      <c r="D294" s="65"/>
      <c r="E294" s="65"/>
      <c r="F294" s="93"/>
      <c r="G294" s="94"/>
      <c r="H294" s="95"/>
      <c r="I294" s="66" t="str">
        <f t="shared" si="36"/>
        <v xml:space="preserve"> </v>
      </c>
      <c r="J294" s="67" t="str">
        <f t="shared" si="37"/>
        <v xml:space="preserve"> </v>
      </c>
      <c r="K294" s="68" t="str">
        <f t="shared" si="38"/>
        <v xml:space="preserve"> </v>
      </c>
      <c r="L294" s="67" t="str">
        <f t="shared" si="39"/>
        <v xml:space="preserve"> </v>
      </c>
      <c r="M294" s="61"/>
      <c r="N294" s="61"/>
      <c r="O294" s="70" t="s">
        <v>22</v>
      </c>
      <c r="P294" s="74" t="e">
        <f>SUM(I292:I316)/B317</f>
        <v>#DIV/0!</v>
      </c>
      <c r="Q294" s="72" t="s">
        <v>23</v>
      </c>
      <c r="R294" s="75" t="e">
        <f>SUM(K292:K316)/C317</f>
        <v>#DIV/0!</v>
      </c>
    </row>
    <row r="295" spans="1:18" ht="14.25" customHeight="1">
      <c r="A295" s="63"/>
      <c r="B295" s="63">
        <v>4</v>
      </c>
      <c r="C295" s="64"/>
      <c r="D295" s="65"/>
      <c r="E295" s="65"/>
      <c r="F295" s="93"/>
      <c r="G295" s="94"/>
      <c r="H295" s="95"/>
      <c r="I295" s="66" t="str">
        <f t="shared" si="36"/>
        <v xml:space="preserve"> </v>
      </c>
      <c r="J295" s="67" t="str">
        <f t="shared" si="37"/>
        <v xml:space="preserve"> </v>
      </c>
      <c r="K295" s="68" t="str">
        <f t="shared" si="38"/>
        <v xml:space="preserve"> </v>
      </c>
      <c r="L295" s="67" t="str">
        <f t="shared" si="39"/>
        <v xml:space="preserve"> </v>
      </c>
      <c r="M295" s="61"/>
      <c r="N295" s="61"/>
      <c r="O295" s="76" t="s">
        <v>24</v>
      </c>
      <c r="P295" s="77">
        <f>SUM(J292:J316)</f>
        <v>0</v>
      </c>
      <c r="Q295" s="78" t="s">
        <v>25</v>
      </c>
      <c r="R295" s="79">
        <f>SUM(L292:L316)</f>
        <v>0</v>
      </c>
    </row>
    <row r="296" spans="1:18" ht="14.25" customHeight="1">
      <c r="A296" s="63"/>
      <c r="B296" s="63">
        <v>5</v>
      </c>
      <c r="C296" s="64"/>
      <c r="D296" s="65"/>
      <c r="E296" s="65"/>
      <c r="F296" s="93"/>
      <c r="G296" s="94"/>
      <c r="H296" s="95"/>
      <c r="I296" s="66" t="str">
        <f t="shared" si="36"/>
        <v xml:space="preserve"> </v>
      </c>
      <c r="J296" s="67" t="str">
        <f t="shared" si="37"/>
        <v xml:space="preserve"> </v>
      </c>
      <c r="K296" s="68" t="str">
        <f t="shared" si="38"/>
        <v xml:space="preserve"> </v>
      </c>
      <c r="L296" s="67" t="str">
        <f t="shared" si="39"/>
        <v xml:space="preserve"> </v>
      </c>
      <c r="M296" s="61"/>
      <c r="N296" s="61"/>
      <c r="O296" s="128" t="s">
        <v>26</v>
      </c>
      <c r="P296" s="119"/>
      <c r="Q296" s="119"/>
      <c r="R296" s="109"/>
    </row>
    <row r="297" spans="1:18" ht="14.25" customHeight="1">
      <c r="A297" s="63"/>
      <c r="B297" s="63">
        <v>6</v>
      </c>
      <c r="C297" s="64"/>
      <c r="D297" s="65"/>
      <c r="E297" s="65"/>
      <c r="F297" s="93"/>
      <c r="G297" s="94"/>
      <c r="H297" s="95"/>
      <c r="I297" s="66" t="str">
        <f t="shared" si="36"/>
        <v xml:space="preserve"> </v>
      </c>
      <c r="J297" s="67" t="str">
        <f t="shared" si="37"/>
        <v xml:space="preserve"> </v>
      </c>
      <c r="K297" s="68" t="str">
        <f t="shared" si="38"/>
        <v xml:space="preserve"> </v>
      </c>
      <c r="L297" s="67" t="str">
        <f t="shared" si="39"/>
        <v xml:space="preserve"> </v>
      </c>
      <c r="M297" s="61"/>
      <c r="N297" s="61"/>
      <c r="O297" s="129" t="s">
        <v>27</v>
      </c>
      <c r="P297" s="131">
        <f>P295+R295-K318</f>
        <v>0</v>
      </c>
      <c r="Q297" s="129" t="s">
        <v>28</v>
      </c>
      <c r="R297" s="133" t="e">
        <f>K318/P297</f>
        <v>#DIV/0!</v>
      </c>
    </row>
    <row r="298" spans="1:18" ht="14.25" customHeight="1">
      <c r="A298" s="63"/>
      <c r="B298" s="63">
        <v>7</v>
      </c>
      <c r="C298" s="64"/>
      <c r="D298" s="65"/>
      <c r="E298" s="65"/>
      <c r="F298" s="93"/>
      <c r="G298" s="94"/>
      <c r="H298" s="95"/>
      <c r="I298" s="66" t="str">
        <f t="shared" si="36"/>
        <v xml:space="preserve"> </v>
      </c>
      <c r="J298" s="67" t="str">
        <f t="shared" si="37"/>
        <v xml:space="preserve"> </v>
      </c>
      <c r="K298" s="68" t="str">
        <f t="shared" si="38"/>
        <v xml:space="preserve"> </v>
      </c>
      <c r="L298" s="67" t="str">
        <f t="shared" si="39"/>
        <v xml:space="preserve"> </v>
      </c>
      <c r="M298" s="61"/>
      <c r="N298" s="61"/>
      <c r="O298" s="130"/>
      <c r="P298" s="132"/>
      <c r="Q298" s="130"/>
      <c r="R298" s="132"/>
    </row>
    <row r="299" spans="1:18" ht="14.25" customHeight="1">
      <c r="A299" s="63"/>
      <c r="B299" s="63">
        <v>8</v>
      </c>
      <c r="C299" s="64"/>
      <c r="D299" s="65"/>
      <c r="E299" s="65"/>
      <c r="F299" s="93"/>
      <c r="G299" s="94"/>
      <c r="H299" s="95"/>
      <c r="I299" s="66" t="str">
        <f t="shared" si="36"/>
        <v xml:space="preserve"> </v>
      </c>
      <c r="J299" s="67" t="str">
        <f t="shared" si="37"/>
        <v xml:space="preserve"> </v>
      </c>
      <c r="K299" s="68" t="str">
        <f t="shared" si="38"/>
        <v xml:space="preserve"> </v>
      </c>
      <c r="L299" s="67" t="str">
        <f t="shared" si="39"/>
        <v xml:space="preserve"> </v>
      </c>
      <c r="M299" s="61"/>
      <c r="N299" s="61"/>
      <c r="O299" s="124" t="s">
        <v>29</v>
      </c>
      <c r="P299" s="125"/>
      <c r="Q299" s="100"/>
      <c r="R299" s="126" t="e">
        <f>IF(R295&lt;0,((P293*P294/100)+(R293*R294/100)),P294)</f>
        <v>#DIV/0!</v>
      </c>
    </row>
    <row r="300" spans="1:18" ht="14.25" customHeight="1">
      <c r="A300" s="63"/>
      <c r="B300" s="63">
        <v>9</v>
      </c>
      <c r="C300" s="64"/>
      <c r="D300" s="65"/>
      <c r="E300" s="65"/>
      <c r="F300" s="93"/>
      <c r="G300" s="94"/>
      <c r="H300" s="95"/>
      <c r="I300" s="66" t="str">
        <f t="shared" si="36"/>
        <v xml:space="preserve"> </v>
      </c>
      <c r="J300" s="67" t="str">
        <f t="shared" si="37"/>
        <v xml:space="preserve"> </v>
      </c>
      <c r="K300" s="68" t="str">
        <f t="shared" si="38"/>
        <v xml:space="preserve"> </v>
      </c>
      <c r="L300" s="67" t="str">
        <f t="shared" si="39"/>
        <v xml:space="preserve"> </v>
      </c>
      <c r="M300" s="61"/>
      <c r="N300" s="61"/>
      <c r="O300" s="101"/>
      <c r="P300" s="104"/>
      <c r="Q300" s="102"/>
      <c r="R300" s="127"/>
    </row>
    <row r="301" spans="1:18" ht="14.25" customHeight="1">
      <c r="A301" s="63"/>
      <c r="B301" s="63">
        <v>10</v>
      </c>
      <c r="C301" s="64"/>
      <c r="D301" s="65"/>
      <c r="E301" s="65"/>
      <c r="F301" s="93"/>
      <c r="G301" s="94"/>
      <c r="H301" s="95"/>
      <c r="I301" s="66" t="str">
        <f t="shared" si="36"/>
        <v xml:space="preserve"> </v>
      </c>
      <c r="J301" s="67" t="str">
        <f t="shared" si="37"/>
        <v xml:space="preserve"> </v>
      </c>
      <c r="K301" s="68" t="str">
        <f t="shared" si="38"/>
        <v xml:space="preserve"> </v>
      </c>
      <c r="L301" s="67" t="str">
        <f t="shared" si="39"/>
        <v xml:space="preserve"> </v>
      </c>
      <c r="M301" s="61"/>
      <c r="N301" s="61"/>
    </row>
    <row r="302" spans="1:18" ht="14.25" customHeight="1">
      <c r="A302" s="63"/>
      <c r="B302" s="63">
        <v>11</v>
      </c>
      <c r="C302" s="64"/>
      <c r="D302" s="65"/>
      <c r="E302" s="65"/>
      <c r="F302" s="93"/>
      <c r="G302" s="94"/>
      <c r="H302" s="95"/>
      <c r="I302" s="66" t="str">
        <f t="shared" si="36"/>
        <v xml:space="preserve"> </v>
      </c>
      <c r="J302" s="67" t="str">
        <f t="shared" si="37"/>
        <v xml:space="preserve"> </v>
      </c>
      <c r="K302" s="68" t="str">
        <f t="shared" si="38"/>
        <v xml:space="preserve"> </v>
      </c>
      <c r="L302" s="67" t="str">
        <f t="shared" si="39"/>
        <v xml:space="preserve"> </v>
      </c>
      <c r="M302" s="61"/>
      <c r="N302" s="61"/>
      <c r="O302" s="134" t="s">
        <v>30</v>
      </c>
      <c r="P302" s="107"/>
      <c r="Q302" s="97"/>
    </row>
    <row r="303" spans="1:18" ht="14.25" customHeight="1">
      <c r="A303" s="63"/>
      <c r="B303" s="63">
        <v>12</v>
      </c>
      <c r="C303" s="64"/>
      <c r="D303" s="65"/>
      <c r="E303" s="65"/>
      <c r="F303" s="93"/>
      <c r="G303" s="94"/>
      <c r="H303" s="95"/>
      <c r="I303" s="66" t="str">
        <f t="shared" si="36"/>
        <v xml:space="preserve"> </v>
      </c>
      <c r="J303" s="67" t="str">
        <f t="shared" si="37"/>
        <v xml:space="preserve"> </v>
      </c>
      <c r="K303" s="68" t="str">
        <f t="shared" si="38"/>
        <v xml:space="preserve"> </v>
      </c>
      <c r="L303" s="67" t="str">
        <f t="shared" si="39"/>
        <v xml:space="preserve"> </v>
      </c>
      <c r="M303" s="61"/>
      <c r="N303" s="61"/>
      <c r="O303" s="80" t="s">
        <v>31</v>
      </c>
      <c r="P303" s="135">
        <f>MAX(I292:I316)</f>
        <v>0</v>
      </c>
      <c r="Q303" s="95"/>
    </row>
    <row r="304" spans="1:18" ht="14.25" customHeight="1">
      <c r="A304" s="63"/>
      <c r="B304" s="63">
        <v>13</v>
      </c>
      <c r="C304" s="64"/>
      <c r="D304" s="65"/>
      <c r="E304" s="65"/>
      <c r="F304" s="93"/>
      <c r="G304" s="94"/>
      <c r="H304" s="95"/>
      <c r="I304" s="66" t="str">
        <f t="shared" si="36"/>
        <v xml:space="preserve"> </v>
      </c>
      <c r="J304" s="67" t="str">
        <f t="shared" si="37"/>
        <v xml:space="preserve"> </v>
      </c>
      <c r="K304" s="68" t="str">
        <f t="shared" si="38"/>
        <v xml:space="preserve"> </v>
      </c>
      <c r="L304" s="67" t="str">
        <f t="shared" si="39"/>
        <v xml:space="preserve"> </v>
      </c>
      <c r="M304" s="61"/>
      <c r="N304" s="61"/>
      <c r="O304" s="81" t="s">
        <v>32</v>
      </c>
      <c r="P304" s="123">
        <f>MAX(J292:J316)</f>
        <v>0</v>
      </c>
      <c r="Q304" s="95"/>
    </row>
    <row r="305" spans="1:17" ht="14.25" customHeight="1">
      <c r="A305" s="63"/>
      <c r="B305" s="63">
        <v>14</v>
      </c>
      <c r="C305" s="64"/>
      <c r="D305" s="65"/>
      <c r="E305" s="65"/>
      <c r="F305" s="93"/>
      <c r="G305" s="94"/>
      <c r="H305" s="95"/>
      <c r="I305" s="66" t="str">
        <f t="shared" si="36"/>
        <v xml:space="preserve"> </v>
      </c>
      <c r="J305" s="67" t="str">
        <f t="shared" si="37"/>
        <v xml:space="preserve"> </v>
      </c>
      <c r="K305" s="68" t="str">
        <f t="shared" si="38"/>
        <v xml:space="preserve"> </v>
      </c>
      <c r="L305" s="67" t="str">
        <f t="shared" si="39"/>
        <v xml:space="preserve"> </v>
      </c>
      <c r="M305" s="61"/>
      <c r="N305" s="61"/>
      <c r="O305" s="82" t="s">
        <v>33</v>
      </c>
      <c r="P305" s="120">
        <f>MIN(K292:K316)</f>
        <v>0</v>
      </c>
      <c r="Q305" s="95"/>
    </row>
    <row r="306" spans="1:17" ht="14.25" customHeight="1">
      <c r="A306" s="63"/>
      <c r="B306" s="63">
        <v>15</v>
      </c>
      <c r="C306" s="64"/>
      <c r="D306" s="65"/>
      <c r="E306" s="65"/>
      <c r="F306" s="93"/>
      <c r="G306" s="94"/>
      <c r="H306" s="95"/>
      <c r="I306" s="66" t="str">
        <f t="shared" si="36"/>
        <v xml:space="preserve"> </v>
      </c>
      <c r="J306" s="67" t="str">
        <f t="shared" si="37"/>
        <v xml:space="preserve"> </v>
      </c>
      <c r="K306" s="68" t="str">
        <f t="shared" si="38"/>
        <v xml:space="preserve"> </v>
      </c>
      <c r="L306" s="67" t="str">
        <f t="shared" si="39"/>
        <v xml:space="preserve"> </v>
      </c>
      <c r="M306" s="61"/>
      <c r="N306" s="61"/>
      <c r="O306" s="83" t="s">
        <v>34</v>
      </c>
      <c r="P306" s="121">
        <f>MIN(L292:L316)</f>
        <v>0</v>
      </c>
      <c r="Q306" s="122"/>
    </row>
    <row r="307" spans="1:17" ht="14.25" customHeight="1">
      <c r="A307" s="63"/>
      <c r="B307" s="63">
        <v>16</v>
      </c>
      <c r="C307" s="64"/>
      <c r="D307" s="65"/>
      <c r="E307" s="65"/>
      <c r="F307" s="93"/>
      <c r="G307" s="94"/>
      <c r="H307" s="95"/>
      <c r="I307" s="66" t="str">
        <f t="shared" si="36"/>
        <v xml:space="preserve"> </v>
      </c>
      <c r="J307" s="67" t="str">
        <f t="shared" si="37"/>
        <v xml:space="preserve"> </v>
      </c>
      <c r="K307" s="68" t="str">
        <f t="shared" si="38"/>
        <v xml:space="preserve"> </v>
      </c>
      <c r="L307" s="67" t="str">
        <f t="shared" si="39"/>
        <v xml:space="preserve"> </v>
      </c>
      <c r="M307" s="61"/>
      <c r="N307" s="61"/>
      <c r="O307" s="61"/>
    </row>
    <row r="308" spans="1:17" ht="14.25" customHeight="1">
      <c r="A308" s="63"/>
      <c r="B308" s="63">
        <v>17</v>
      </c>
      <c r="C308" s="64"/>
      <c r="D308" s="65"/>
      <c r="E308" s="65"/>
      <c r="F308" s="93"/>
      <c r="G308" s="94"/>
      <c r="H308" s="95"/>
      <c r="I308" s="66" t="str">
        <f t="shared" si="36"/>
        <v xml:space="preserve"> </v>
      </c>
      <c r="J308" s="67" t="str">
        <f t="shared" si="37"/>
        <v xml:space="preserve"> </v>
      </c>
      <c r="K308" s="68" t="str">
        <f t="shared" si="38"/>
        <v xml:space="preserve"> </v>
      </c>
      <c r="L308" s="67" t="str">
        <f t="shared" si="39"/>
        <v xml:space="preserve"> </v>
      </c>
      <c r="M308" s="61"/>
      <c r="N308" s="61"/>
      <c r="O308" s="61"/>
    </row>
    <row r="309" spans="1:17" ht="14.25" customHeight="1">
      <c r="A309" s="63"/>
      <c r="B309" s="63">
        <v>18</v>
      </c>
      <c r="C309" s="64"/>
      <c r="D309" s="65"/>
      <c r="E309" s="65"/>
      <c r="F309" s="93"/>
      <c r="G309" s="94"/>
      <c r="H309" s="95"/>
      <c r="I309" s="66" t="str">
        <f t="shared" si="36"/>
        <v xml:space="preserve"> </v>
      </c>
      <c r="J309" s="67" t="str">
        <f t="shared" si="37"/>
        <v xml:space="preserve"> </v>
      </c>
      <c r="K309" s="68" t="str">
        <f t="shared" si="38"/>
        <v xml:space="preserve"> </v>
      </c>
      <c r="L309" s="67" t="str">
        <f t="shared" si="39"/>
        <v xml:space="preserve"> </v>
      </c>
      <c r="M309" s="61"/>
      <c r="N309" s="61"/>
      <c r="O309" s="61"/>
    </row>
    <row r="310" spans="1:17" ht="14.25" customHeight="1">
      <c r="A310" s="63"/>
      <c r="B310" s="63">
        <v>19</v>
      </c>
      <c r="C310" s="64"/>
      <c r="D310" s="65"/>
      <c r="E310" s="65"/>
      <c r="F310" s="93"/>
      <c r="G310" s="94"/>
      <c r="H310" s="95"/>
      <c r="I310" s="66" t="str">
        <f t="shared" si="36"/>
        <v xml:space="preserve"> </v>
      </c>
      <c r="J310" s="67" t="str">
        <f t="shared" si="37"/>
        <v xml:space="preserve"> </v>
      </c>
      <c r="K310" s="68" t="str">
        <f t="shared" si="38"/>
        <v xml:space="preserve"> </v>
      </c>
      <c r="L310" s="67" t="str">
        <f t="shared" si="39"/>
        <v xml:space="preserve"> </v>
      </c>
      <c r="M310" s="61"/>
      <c r="N310" s="61"/>
      <c r="O310" s="61"/>
    </row>
    <row r="311" spans="1:17" ht="14.25" customHeight="1">
      <c r="A311" s="63"/>
      <c r="B311" s="63">
        <v>20</v>
      </c>
      <c r="C311" s="64"/>
      <c r="D311" s="65"/>
      <c r="E311" s="65"/>
      <c r="F311" s="93"/>
      <c r="G311" s="94"/>
      <c r="H311" s="95"/>
      <c r="I311" s="66" t="str">
        <f t="shared" si="36"/>
        <v xml:space="preserve"> </v>
      </c>
      <c r="J311" s="67" t="str">
        <f t="shared" si="37"/>
        <v xml:space="preserve"> </v>
      </c>
      <c r="K311" s="68" t="str">
        <f t="shared" si="38"/>
        <v xml:space="preserve"> </v>
      </c>
      <c r="L311" s="67" t="str">
        <f t="shared" si="39"/>
        <v xml:space="preserve"> </v>
      </c>
      <c r="M311" s="61"/>
      <c r="N311" s="61"/>
      <c r="O311" s="61"/>
    </row>
    <row r="312" spans="1:17" ht="14.25" customHeight="1">
      <c r="A312" s="63"/>
      <c r="B312" s="63">
        <v>21</v>
      </c>
      <c r="C312" s="64"/>
      <c r="D312" s="65"/>
      <c r="E312" s="65"/>
      <c r="F312" s="93"/>
      <c r="G312" s="94"/>
      <c r="H312" s="95"/>
      <c r="I312" s="66" t="str">
        <f t="shared" si="36"/>
        <v xml:space="preserve"> </v>
      </c>
      <c r="J312" s="67" t="str">
        <f t="shared" si="37"/>
        <v xml:space="preserve"> </v>
      </c>
      <c r="K312" s="68" t="str">
        <f t="shared" si="38"/>
        <v xml:space="preserve"> </v>
      </c>
      <c r="L312" s="67" t="str">
        <f t="shared" si="39"/>
        <v xml:space="preserve"> </v>
      </c>
      <c r="M312" s="61"/>
      <c r="N312" s="61"/>
      <c r="O312" s="61"/>
    </row>
    <row r="313" spans="1:17" ht="14.25" customHeight="1">
      <c r="A313" s="63"/>
      <c r="B313" s="63">
        <v>22</v>
      </c>
      <c r="C313" s="64"/>
      <c r="D313" s="65"/>
      <c r="E313" s="65"/>
      <c r="F313" s="93"/>
      <c r="G313" s="94"/>
      <c r="H313" s="95"/>
      <c r="I313" s="66" t="str">
        <f t="shared" si="36"/>
        <v xml:space="preserve"> </v>
      </c>
      <c r="J313" s="67" t="str">
        <f t="shared" si="37"/>
        <v xml:space="preserve"> </v>
      </c>
      <c r="K313" s="68" t="str">
        <f t="shared" si="38"/>
        <v xml:space="preserve"> </v>
      </c>
      <c r="L313" s="67" t="str">
        <f t="shared" si="39"/>
        <v xml:space="preserve"> </v>
      </c>
      <c r="M313" s="61"/>
      <c r="N313" s="61"/>
      <c r="O313" s="61"/>
    </row>
    <row r="314" spans="1:17" ht="14.25" customHeight="1">
      <c r="A314" s="63"/>
      <c r="B314" s="63">
        <v>23</v>
      </c>
      <c r="C314" s="64"/>
      <c r="D314" s="65"/>
      <c r="E314" s="65"/>
      <c r="F314" s="93"/>
      <c r="G314" s="94"/>
      <c r="H314" s="95"/>
      <c r="I314" s="66" t="str">
        <f t="shared" si="36"/>
        <v xml:space="preserve"> </v>
      </c>
      <c r="J314" s="67" t="str">
        <f t="shared" si="37"/>
        <v xml:space="preserve"> </v>
      </c>
      <c r="K314" s="68" t="str">
        <f t="shared" si="38"/>
        <v xml:space="preserve"> </v>
      </c>
      <c r="L314" s="67" t="str">
        <f t="shared" si="39"/>
        <v xml:space="preserve"> </v>
      </c>
      <c r="M314" s="61"/>
      <c r="N314" s="61"/>
      <c r="O314" s="61"/>
    </row>
    <row r="315" spans="1:17" ht="14.25" customHeight="1">
      <c r="A315" s="63"/>
      <c r="B315" s="63">
        <v>24</v>
      </c>
      <c r="C315" s="64"/>
      <c r="D315" s="65"/>
      <c r="E315" s="65"/>
      <c r="F315" s="93"/>
      <c r="G315" s="94"/>
      <c r="H315" s="95"/>
      <c r="I315" s="66" t="str">
        <f t="shared" si="36"/>
        <v xml:space="preserve"> </v>
      </c>
      <c r="J315" s="67" t="str">
        <f t="shared" si="37"/>
        <v xml:space="preserve"> </v>
      </c>
      <c r="K315" s="68" t="str">
        <f t="shared" si="38"/>
        <v xml:space="preserve"> </v>
      </c>
      <c r="L315" s="67" t="str">
        <f t="shared" si="39"/>
        <v xml:space="preserve"> </v>
      </c>
      <c r="M315" s="61"/>
      <c r="N315" s="61"/>
      <c r="O315" s="61"/>
    </row>
    <row r="316" spans="1:17" ht="14.25" customHeight="1">
      <c r="A316" s="63"/>
      <c r="B316" s="63">
        <v>25</v>
      </c>
      <c r="C316" s="87"/>
      <c r="D316" s="65"/>
      <c r="E316" s="65"/>
      <c r="F316" s="93"/>
      <c r="G316" s="94"/>
      <c r="H316" s="95"/>
      <c r="I316" s="66" t="str">
        <f t="shared" si="36"/>
        <v xml:space="preserve"> </v>
      </c>
      <c r="J316" s="67" t="str">
        <f t="shared" si="37"/>
        <v xml:space="preserve"> </v>
      </c>
      <c r="K316" s="68" t="str">
        <f t="shared" si="38"/>
        <v xml:space="preserve"> </v>
      </c>
      <c r="L316" s="67" t="str">
        <f t="shared" si="39"/>
        <v xml:space="preserve"> </v>
      </c>
      <c r="M316" s="61"/>
      <c r="N316" s="61"/>
      <c r="O316" s="61"/>
    </row>
    <row r="317" spans="1:17" ht="14.25" customHeight="1">
      <c r="A317" s="99" t="s">
        <v>35</v>
      </c>
      <c r="B317" s="84">
        <f>COUNT(I292:I316)</f>
        <v>0</v>
      </c>
      <c r="C317" s="84">
        <f>COUNT(K292:K316)</f>
        <v>0</v>
      </c>
      <c r="D317" s="84">
        <f>SUM(E292:E316)*2</f>
        <v>0</v>
      </c>
      <c r="E317" s="84"/>
      <c r="F317" s="84"/>
      <c r="G317" s="84"/>
      <c r="H317" s="84"/>
      <c r="I317" s="96" t="s">
        <v>36</v>
      </c>
      <c r="J317" s="97"/>
      <c r="K317" s="98" t="s">
        <v>37</v>
      </c>
      <c r="L317" s="97"/>
      <c r="M317" s="61"/>
      <c r="N317" s="61"/>
      <c r="O317" s="61"/>
    </row>
    <row r="318" spans="1:17" ht="14.25" customHeight="1">
      <c r="A318" s="105"/>
      <c r="B318" s="85"/>
      <c r="C318" s="85"/>
      <c r="D318" s="85"/>
      <c r="E318" s="85"/>
      <c r="F318" s="85"/>
      <c r="G318" s="85"/>
      <c r="H318" s="85"/>
      <c r="I318" s="99">
        <f>I286</f>
        <v>15</v>
      </c>
      <c r="J318" s="100"/>
      <c r="K318" s="103">
        <f>I318*D317*1.07</f>
        <v>0</v>
      </c>
      <c r="L318" s="100"/>
    </row>
    <row r="319" spans="1:17" ht="15.75" customHeight="1">
      <c r="A319" s="101"/>
      <c r="B319" s="86"/>
      <c r="C319" s="86"/>
      <c r="D319" s="86"/>
      <c r="E319" s="86"/>
      <c r="F319" s="86"/>
      <c r="G319" s="86"/>
      <c r="H319" s="86"/>
      <c r="I319" s="101"/>
      <c r="J319" s="102"/>
      <c r="K319" s="104"/>
      <c r="L319" s="102"/>
    </row>
    <row r="320" spans="1:17" ht="14.25" customHeight="1"/>
    <row r="321" spans="1:18" ht="14.25" customHeight="1"/>
    <row r="322" spans="1:18" ht="14.25" customHeight="1">
      <c r="A322" s="106" t="s">
        <v>2</v>
      </c>
      <c r="B322" s="107"/>
      <c r="C322" s="107"/>
      <c r="D322" s="107"/>
      <c r="E322" s="97"/>
      <c r="F322" s="106" t="s">
        <v>3</v>
      </c>
      <c r="G322" s="107"/>
      <c r="H322" s="97"/>
      <c r="I322" s="108" t="s">
        <v>4</v>
      </c>
      <c r="J322" s="109"/>
      <c r="K322" s="110" t="s">
        <v>5</v>
      </c>
      <c r="L322" s="109"/>
      <c r="O322" s="111" t="s">
        <v>7</v>
      </c>
      <c r="P322" s="107"/>
      <c r="Q322" s="107"/>
      <c r="R322" s="97"/>
    </row>
    <row r="323" spans="1:18" ht="14.25" customHeight="1">
      <c r="A323" s="55" t="s">
        <v>8</v>
      </c>
      <c r="B323" s="55" t="s">
        <v>9</v>
      </c>
      <c r="C323" s="55" t="s">
        <v>10</v>
      </c>
      <c r="D323" s="56" t="s">
        <v>11</v>
      </c>
      <c r="E323" s="57" t="s">
        <v>12</v>
      </c>
      <c r="F323" s="117" t="s">
        <v>11</v>
      </c>
      <c r="G323" s="104"/>
      <c r="H323" s="102"/>
      <c r="I323" s="58" t="s">
        <v>13</v>
      </c>
      <c r="J323" s="59" t="s">
        <v>14</v>
      </c>
      <c r="K323" s="60" t="s">
        <v>13</v>
      </c>
      <c r="L323" s="59" t="s">
        <v>14</v>
      </c>
      <c r="M323" s="61"/>
      <c r="N323" s="61"/>
      <c r="O323" s="112" t="s">
        <v>15</v>
      </c>
      <c r="P323" s="113"/>
      <c r="Q323" s="113"/>
      <c r="R323" s="114"/>
    </row>
    <row r="324" spans="1:18" ht="14.25" customHeight="1">
      <c r="A324" s="62">
        <v>42370</v>
      </c>
      <c r="B324" s="63">
        <v>1</v>
      </c>
      <c r="C324" s="64"/>
      <c r="D324" s="65"/>
      <c r="E324" s="65"/>
      <c r="F324" s="118"/>
      <c r="G324" s="119"/>
      <c r="H324" s="109"/>
      <c r="I324" s="66" t="str">
        <f t="shared" ref="I324:I348" si="40">IF(C324="L",IF(F324-D324&gt;0,F324-D324," "),IF(D324-F324&gt;0,D324-F324," "))</f>
        <v xml:space="preserve"> </v>
      </c>
      <c r="J324" s="67" t="str">
        <f t="shared" ref="J324:J348" si="41">IF(C324="L",IF(F324-D324&gt;0,(F324-D324)*200*E324," "),IF(D324-F324&gt;0,(D324-F324)*200*E324," "))</f>
        <v xml:space="preserve"> </v>
      </c>
      <c r="K324" s="68" t="str">
        <f t="shared" ref="K324:K348" si="42">IF(C324="L",IF(F324-D324&lt;0,F324-D324," "),IF(D324-F324&lt;0,D324-F324," "))</f>
        <v xml:space="preserve"> </v>
      </c>
      <c r="L324" s="67" t="str">
        <f t="shared" ref="L324:L348" si="43">IF(C324="L",IF(F324-D324&lt;0,(F324-D324)*200*E324," "),IF(D324-F324&lt;0,(D324-F324)*200*E324," "))</f>
        <v xml:space="preserve"> </v>
      </c>
      <c r="M324" s="61"/>
      <c r="N324" s="61"/>
      <c r="O324" s="22" t="s">
        <v>19</v>
      </c>
      <c r="P324" s="23">
        <f>B349+C349</f>
        <v>0</v>
      </c>
      <c r="Q324" s="115"/>
      <c r="R324" s="116"/>
    </row>
    <row r="325" spans="1:18" ht="14.25" customHeight="1">
      <c r="A325" s="63"/>
      <c r="B325" s="63">
        <v>2</v>
      </c>
      <c r="C325" s="64"/>
      <c r="D325" s="65"/>
      <c r="E325" s="65"/>
      <c r="F325" s="93"/>
      <c r="G325" s="94"/>
      <c r="H325" s="95"/>
      <c r="I325" s="66" t="str">
        <f t="shared" si="40"/>
        <v xml:space="preserve"> </v>
      </c>
      <c r="J325" s="67" t="str">
        <f t="shared" si="41"/>
        <v xml:space="preserve"> </v>
      </c>
      <c r="K325" s="68" t="str">
        <f t="shared" si="42"/>
        <v xml:space="preserve"> </v>
      </c>
      <c r="L325" s="67" t="str">
        <f t="shared" si="43"/>
        <v xml:space="preserve"> </v>
      </c>
      <c r="M325" s="61"/>
      <c r="N325" s="61"/>
      <c r="O325" s="70" t="s">
        <v>20</v>
      </c>
      <c r="P325" s="71" t="e">
        <f>B349/P324*100</f>
        <v>#DIV/0!</v>
      </c>
      <c r="Q325" s="72" t="s">
        <v>21</v>
      </c>
      <c r="R325" s="73" t="e">
        <f>C349/P324*100</f>
        <v>#DIV/0!</v>
      </c>
    </row>
    <row r="326" spans="1:18" ht="14.25" customHeight="1">
      <c r="A326" s="63"/>
      <c r="B326" s="63">
        <v>3</v>
      </c>
      <c r="C326" s="64"/>
      <c r="D326" s="65"/>
      <c r="E326" s="65"/>
      <c r="F326" s="93"/>
      <c r="G326" s="94"/>
      <c r="H326" s="95"/>
      <c r="I326" s="66" t="str">
        <f t="shared" si="40"/>
        <v xml:space="preserve"> </v>
      </c>
      <c r="J326" s="67" t="str">
        <f t="shared" si="41"/>
        <v xml:space="preserve"> </v>
      </c>
      <c r="K326" s="68" t="str">
        <f t="shared" si="42"/>
        <v xml:space="preserve"> </v>
      </c>
      <c r="L326" s="67" t="str">
        <f t="shared" si="43"/>
        <v xml:space="preserve"> </v>
      </c>
      <c r="M326" s="61"/>
      <c r="N326" s="61"/>
      <c r="O326" s="70" t="s">
        <v>22</v>
      </c>
      <c r="P326" s="74" t="e">
        <f>SUM(I324:I348)/B349</f>
        <v>#DIV/0!</v>
      </c>
      <c r="Q326" s="72" t="s">
        <v>23</v>
      </c>
      <c r="R326" s="75" t="e">
        <f>SUM(K324:K348)/C349</f>
        <v>#DIV/0!</v>
      </c>
    </row>
    <row r="327" spans="1:18" ht="14.25" customHeight="1">
      <c r="A327" s="63"/>
      <c r="B327" s="63">
        <v>4</v>
      </c>
      <c r="C327" s="64"/>
      <c r="D327" s="65"/>
      <c r="E327" s="65"/>
      <c r="F327" s="93"/>
      <c r="G327" s="94"/>
      <c r="H327" s="95"/>
      <c r="I327" s="66" t="str">
        <f t="shared" si="40"/>
        <v xml:space="preserve"> </v>
      </c>
      <c r="J327" s="67" t="str">
        <f t="shared" si="41"/>
        <v xml:space="preserve"> </v>
      </c>
      <c r="K327" s="68" t="str">
        <f t="shared" si="42"/>
        <v xml:space="preserve"> </v>
      </c>
      <c r="L327" s="67" t="str">
        <f t="shared" si="43"/>
        <v xml:space="preserve"> </v>
      </c>
      <c r="M327" s="61"/>
      <c r="N327" s="61"/>
      <c r="O327" s="76" t="s">
        <v>24</v>
      </c>
      <c r="P327" s="77">
        <f>SUM(J324:J348)</f>
        <v>0</v>
      </c>
      <c r="Q327" s="78" t="s">
        <v>25</v>
      </c>
      <c r="R327" s="79">
        <f>SUM(L324:L348)</f>
        <v>0</v>
      </c>
    </row>
    <row r="328" spans="1:18" ht="14.25" customHeight="1">
      <c r="A328" s="63"/>
      <c r="B328" s="63">
        <v>5</v>
      </c>
      <c r="C328" s="64"/>
      <c r="D328" s="65"/>
      <c r="E328" s="65"/>
      <c r="F328" s="93"/>
      <c r="G328" s="94"/>
      <c r="H328" s="95"/>
      <c r="I328" s="66" t="str">
        <f t="shared" si="40"/>
        <v xml:space="preserve"> </v>
      </c>
      <c r="J328" s="67" t="str">
        <f t="shared" si="41"/>
        <v xml:space="preserve"> </v>
      </c>
      <c r="K328" s="68" t="str">
        <f t="shared" si="42"/>
        <v xml:space="preserve"> </v>
      </c>
      <c r="L328" s="67" t="str">
        <f t="shared" si="43"/>
        <v xml:space="preserve"> </v>
      </c>
      <c r="M328" s="61"/>
      <c r="N328" s="61"/>
      <c r="O328" s="128" t="s">
        <v>26</v>
      </c>
      <c r="P328" s="119"/>
      <c r="Q328" s="119"/>
      <c r="R328" s="109"/>
    </row>
    <row r="329" spans="1:18" ht="14.25" customHeight="1">
      <c r="A329" s="63"/>
      <c r="B329" s="63">
        <v>6</v>
      </c>
      <c r="C329" s="64"/>
      <c r="D329" s="65"/>
      <c r="E329" s="65"/>
      <c r="F329" s="93"/>
      <c r="G329" s="94"/>
      <c r="H329" s="95"/>
      <c r="I329" s="66" t="str">
        <f t="shared" si="40"/>
        <v xml:space="preserve"> </v>
      </c>
      <c r="J329" s="67" t="str">
        <f t="shared" si="41"/>
        <v xml:space="preserve"> </v>
      </c>
      <c r="K329" s="68" t="str">
        <f t="shared" si="42"/>
        <v xml:space="preserve"> </v>
      </c>
      <c r="L329" s="67" t="str">
        <f t="shared" si="43"/>
        <v xml:space="preserve"> </v>
      </c>
      <c r="M329" s="61"/>
      <c r="N329" s="61"/>
      <c r="O329" s="129" t="s">
        <v>27</v>
      </c>
      <c r="P329" s="131">
        <f>P327+R327-K350</f>
        <v>0</v>
      </c>
      <c r="Q329" s="129" t="s">
        <v>28</v>
      </c>
      <c r="R329" s="133" t="e">
        <f>K350/P329</f>
        <v>#DIV/0!</v>
      </c>
    </row>
    <row r="330" spans="1:18" ht="14.25" customHeight="1">
      <c r="A330" s="63"/>
      <c r="B330" s="63">
        <v>7</v>
      </c>
      <c r="C330" s="64"/>
      <c r="D330" s="65"/>
      <c r="E330" s="65"/>
      <c r="F330" s="93"/>
      <c r="G330" s="94"/>
      <c r="H330" s="95"/>
      <c r="I330" s="66" t="str">
        <f t="shared" si="40"/>
        <v xml:space="preserve"> </v>
      </c>
      <c r="J330" s="67" t="str">
        <f t="shared" si="41"/>
        <v xml:space="preserve"> </v>
      </c>
      <c r="K330" s="68" t="str">
        <f t="shared" si="42"/>
        <v xml:space="preserve"> </v>
      </c>
      <c r="L330" s="67" t="str">
        <f t="shared" si="43"/>
        <v xml:space="preserve"> </v>
      </c>
      <c r="M330" s="61"/>
      <c r="N330" s="61"/>
      <c r="O330" s="130"/>
      <c r="P330" s="132"/>
      <c r="Q330" s="130"/>
      <c r="R330" s="132"/>
    </row>
    <row r="331" spans="1:18" ht="14.25" customHeight="1">
      <c r="A331" s="63"/>
      <c r="B331" s="63">
        <v>8</v>
      </c>
      <c r="C331" s="64"/>
      <c r="D331" s="65"/>
      <c r="E331" s="65"/>
      <c r="F331" s="93"/>
      <c r="G331" s="94"/>
      <c r="H331" s="95"/>
      <c r="I331" s="66" t="str">
        <f t="shared" si="40"/>
        <v xml:space="preserve"> </v>
      </c>
      <c r="J331" s="67" t="str">
        <f t="shared" si="41"/>
        <v xml:space="preserve"> </v>
      </c>
      <c r="K331" s="68" t="str">
        <f t="shared" si="42"/>
        <v xml:space="preserve"> </v>
      </c>
      <c r="L331" s="67" t="str">
        <f t="shared" si="43"/>
        <v xml:space="preserve"> </v>
      </c>
      <c r="M331" s="61"/>
      <c r="N331" s="61"/>
      <c r="O331" s="124" t="s">
        <v>29</v>
      </c>
      <c r="P331" s="125"/>
      <c r="Q331" s="100"/>
      <c r="R331" s="126" t="e">
        <f>IF(R327&lt;0,((P325*P326/100)+(R325*R326/100)),P326)</f>
        <v>#DIV/0!</v>
      </c>
    </row>
    <row r="332" spans="1:18" ht="14.25" customHeight="1">
      <c r="A332" s="63"/>
      <c r="B332" s="63">
        <v>9</v>
      </c>
      <c r="C332" s="64"/>
      <c r="D332" s="65"/>
      <c r="E332" s="65"/>
      <c r="F332" s="93"/>
      <c r="G332" s="94"/>
      <c r="H332" s="95"/>
      <c r="I332" s="66" t="str">
        <f t="shared" si="40"/>
        <v xml:space="preserve"> </v>
      </c>
      <c r="J332" s="67" t="str">
        <f t="shared" si="41"/>
        <v xml:space="preserve"> </v>
      </c>
      <c r="K332" s="68" t="str">
        <f t="shared" si="42"/>
        <v xml:space="preserve"> </v>
      </c>
      <c r="L332" s="67" t="str">
        <f t="shared" si="43"/>
        <v xml:space="preserve"> </v>
      </c>
      <c r="M332" s="61"/>
      <c r="N332" s="61"/>
      <c r="O332" s="101"/>
      <c r="P332" s="104"/>
      <c r="Q332" s="102"/>
      <c r="R332" s="127"/>
    </row>
    <row r="333" spans="1:18" ht="14.25" customHeight="1">
      <c r="A333" s="63"/>
      <c r="B333" s="63">
        <v>10</v>
      </c>
      <c r="C333" s="64"/>
      <c r="D333" s="65"/>
      <c r="E333" s="65"/>
      <c r="F333" s="93"/>
      <c r="G333" s="94"/>
      <c r="H333" s="95"/>
      <c r="I333" s="66" t="str">
        <f t="shared" si="40"/>
        <v xml:space="preserve"> </v>
      </c>
      <c r="J333" s="67" t="str">
        <f t="shared" si="41"/>
        <v xml:space="preserve"> </v>
      </c>
      <c r="K333" s="68" t="str">
        <f t="shared" si="42"/>
        <v xml:space="preserve"> </v>
      </c>
      <c r="L333" s="67" t="str">
        <f t="shared" si="43"/>
        <v xml:space="preserve"> </v>
      </c>
      <c r="M333" s="61"/>
      <c r="N333" s="61"/>
    </row>
    <row r="334" spans="1:18" ht="14.25" customHeight="1">
      <c r="A334" s="63"/>
      <c r="B334" s="63">
        <v>11</v>
      </c>
      <c r="C334" s="64"/>
      <c r="D334" s="65"/>
      <c r="E334" s="65"/>
      <c r="F334" s="93"/>
      <c r="G334" s="94"/>
      <c r="H334" s="95"/>
      <c r="I334" s="66" t="str">
        <f t="shared" si="40"/>
        <v xml:space="preserve"> </v>
      </c>
      <c r="J334" s="67" t="str">
        <f t="shared" si="41"/>
        <v xml:space="preserve"> </v>
      </c>
      <c r="K334" s="68" t="str">
        <f t="shared" si="42"/>
        <v xml:space="preserve"> </v>
      </c>
      <c r="L334" s="67" t="str">
        <f t="shared" si="43"/>
        <v xml:space="preserve"> </v>
      </c>
      <c r="M334" s="61"/>
      <c r="N334" s="61"/>
      <c r="O334" s="134" t="s">
        <v>30</v>
      </c>
      <c r="P334" s="107"/>
      <c r="Q334" s="97"/>
    </row>
    <row r="335" spans="1:18" ht="14.25" customHeight="1">
      <c r="A335" s="63"/>
      <c r="B335" s="63">
        <v>12</v>
      </c>
      <c r="C335" s="64"/>
      <c r="D335" s="65"/>
      <c r="E335" s="65"/>
      <c r="F335" s="93"/>
      <c r="G335" s="94"/>
      <c r="H335" s="95"/>
      <c r="I335" s="66" t="str">
        <f t="shared" si="40"/>
        <v xml:space="preserve"> </v>
      </c>
      <c r="J335" s="67" t="str">
        <f t="shared" si="41"/>
        <v xml:space="preserve"> </v>
      </c>
      <c r="K335" s="68" t="str">
        <f t="shared" si="42"/>
        <v xml:space="preserve"> </v>
      </c>
      <c r="L335" s="67" t="str">
        <f t="shared" si="43"/>
        <v xml:space="preserve"> </v>
      </c>
      <c r="M335" s="61"/>
      <c r="N335" s="61"/>
      <c r="O335" s="80" t="s">
        <v>31</v>
      </c>
      <c r="P335" s="135">
        <f>MAX(I324:I348)</f>
        <v>0</v>
      </c>
      <c r="Q335" s="95"/>
    </row>
    <row r="336" spans="1:18" ht="14.25" customHeight="1">
      <c r="A336" s="63"/>
      <c r="B336" s="63">
        <v>13</v>
      </c>
      <c r="C336" s="64"/>
      <c r="D336" s="65"/>
      <c r="E336" s="65"/>
      <c r="F336" s="93"/>
      <c r="G336" s="94"/>
      <c r="H336" s="95"/>
      <c r="I336" s="66" t="str">
        <f t="shared" si="40"/>
        <v xml:space="preserve"> </v>
      </c>
      <c r="J336" s="67" t="str">
        <f t="shared" si="41"/>
        <v xml:space="preserve"> </v>
      </c>
      <c r="K336" s="68" t="str">
        <f t="shared" si="42"/>
        <v xml:space="preserve"> </v>
      </c>
      <c r="L336" s="67" t="str">
        <f t="shared" si="43"/>
        <v xml:space="preserve"> </v>
      </c>
      <c r="M336" s="61"/>
      <c r="N336" s="61"/>
      <c r="O336" s="81" t="s">
        <v>32</v>
      </c>
      <c r="P336" s="123">
        <f>MAX(J324:J348)</f>
        <v>0</v>
      </c>
      <c r="Q336" s="95"/>
    </row>
    <row r="337" spans="1:17" ht="14.25" customHeight="1">
      <c r="A337" s="63"/>
      <c r="B337" s="63">
        <v>14</v>
      </c>
      <c r="C337" s="64"/>
      <c r="D337" s="65"/>
      <c r="E337" s="65"/>
      <c r="F337" s="93"/>
      <c r="G337" s="94"/>
      <c r="H337" s="95"/>
      <c r="I337" s="66" t="str">
        <f t="shared" si="40"/>
        <v xml:space="preserve"> </v>
      </c>
      <c r="J337" s="67" t="str">
        <f t="shared" si="41"/>
        <v xml:space="preserve"> </v>
      </c>
      <c r="K337" s="68" t="str">
        <f t="shared" si="42"/>
        <v xml:space="preserve"> </v>
      </c>
      <c r="L337" s="67" t="str">
        <f t="shared" si="43"/>
        <v xml:space="preserve"> </v>
      </c>
      <c r="M337" s="61"/>
      <c r="N337" s="61"/>
      <c r="O337" s="82" t="s">
        <v>33</v>
      </c>
      <c r="P337" s="120">
        <f>MIN(K324:K348)</f>
        <v>0</v>
      </c>
      <c r="Q337" s="95"/>
    </row>
    <row r="338" spans="1:17" ht="14.25" customHeight="1">
      <c r="A338" s="63"/>
      <c r="B338" s="63">
        <v>15</v>
      </c>
      <c r="C338" s="64"/>
      <c r="D338" s="65"/>
      <c r="E338" s="65"/>
      <c r="F338" s="93"/>
      <c r="G338" s="94"/>
      <c r="H338" s="95"/>
      <c r="I338" s="66" t="str">
        <f t="shared" si="40"/>
        <v xml:space="preserve"> </v>
      </c>
      <c r="J338" s="67" t="str">
        <f t="shared" si="41"/>
        <v xml:space="preserve"> </v>
      </c>
      <c r="K338" s="68" t="str">
        <f t="shared" si="42"/>
        <v xml:space="preserve"> </v>
      </c>
      <c r="L338" s="67" t="str">
        <f t="shared" si="43"/>
        <v xml:space="preserve"> </v>
      </c>
      <c r="M338" s="61"/>
      <c r="N338" s="61"/>
      <c r="O338" s="83" t="s">
        <v>34</v>
      </c>
      <c r="P338" s="121">
        <f>MIN(L324:L348)</f>
        <v>0</v>
      </c>
      <c r="Q338" s="122"/>
    </row>
    <row r="339" spans="1:17" ht="14.25" customHeight="1">
      <c r="A339" s="63"/>
      <c r="B339" s="63">
        <v>16</v>
      </c>
      <c r="C339" s="64"/>
      <c r="D339" s="65"/>
      <c r="E339" s="65"/>
      <c r="F339" s="93"/>
      <c r="G339" s="94"/>
      <c r="H339" s="95"/>
      <c r="I339" s="66" t="str">
        <f t="shared" si="40"/>
        <v xml:space="preserve"> </v>
      </c>
      <c r="J339" s="67" t="str">
        <f t="shared" si="41"/>
        <v xml:space="preserve"> </v>
      </c>
      <c r="K339" s="68" t="str">
        <f t="shared" si="42"/>
        <v xml:space="preserve"> </v>
      </c>
      <c r="L339" s="67" t="str">
        <f t="shared" si="43"/>
        <v xml:space="preserve"> </v>
      </c>
      <c r="M339" s="61"/>
      <c r="N339" s="61"/>
      <c r="O339" s="61"/>
    </row>
    <row r="340" spans="1:17" ht="14.25" customHeight="1">
      <c r="A340" s="63"/>
      <c r="B340" s="63">
        <v>17</v>
      </c>
      <c r="C340" s="64"/>
      <c r="D340" s="65"/>
      <c r="E340" s="65"/>
      <c r="F340" s="93"/>
      <c r="G340" s="94"/>
      <c r="H340" s="95"/>
      <c r="I340" s="66" t="str">
        <f t="shared" si="40"/>
        <v xml:space="preserve"> </v>
      </c>
      <c r="J340" s="67" t="str">
        <f t="shared" si="41"/>
        <v xml:space="preserve"> </v>
      </c>
      <c r="K340" s="68" t="str">
        <f t="shared" si="42"/>
        <v xml:space="preserve"> </v>
      </c>
      <c r="L340" s="67" t="str">
        <f t="shared" si="43"/>
        <v xml:space="preserve"> </v>
      </c>
      <c r="M340" s="61"/>
      <c r="N340" s="61"/>
      <c r="O340" s="61"/>
    </row>
    <row r="341" spans="1:17" ht="14.25" customHeight="1">
      <c r="A341" s="63"/>
      <c r="B341" s="63">
        <v>18</v>
      </c>
      <c r="C341" s="64"/>
      <c r="D341" s="65"/>
      <c r="E341" s="65"/>
      <c r="F341" s="93"/>
      <c r="G341" s="94"/>
      <c r="H341" s="95"/>
      <c r="I341" s="66" t="str">
        <f t="shared" si="40"/>
        <v xml:space="preserve"> </v>
      </c>
      <c r="J341" s="67" t="str">
        <f t="shared" si="41"/>
        <v xml:space="preserve"> </v>
      </c>
      <c r="K341" s="68" t="str">
        <f t="shared" si="42"/>
        <v xml:space="preserve"> </v>
      </c>
      <c r="L341" s="67" t="str">
        <f t="shared" si="43"/>
        <v xml:space="preserve"> </v>
      </c>
      <c r="M341" s="61"/>
      <c r="N341" s="61"/>
      <c r="O341" s="61"/>
    </row>
    <row r="342" spans="1:17" ht="14.25" customHeight="1">
      <c r="A342" s="63"/>
      <c r="B342" s="63">
        <v>19</v>
      </c>
      <c r="C342" s="64"/>
      <c r="D342" s="65"/>
      <c r="E342" s="65"/>
      <c r="F342" s="93"/>
      <c r="G342" s="94"/>
      <c r="H342" s="95"/>
      <c r="I342" s="66" t="str">
        <f t="shared" si="40"/>
        <v xml:space="preserve"> </v>
      </c>
      <c r="J342" s="67" t="str">
        <f t="shared" si="41"/>
        <v xml:space="preserve"> </v>
      </c>
      <c r="K342" s="68" t="str">
        <f t="shared" si="42"/>
        <v xml:space="preserve"> </v>
      </c>
      <c r="L342" s="67" t="str">
        <f t="shared" si="43"/>
        <v xml:space="preserve"> </v>
      </c>
      <c r="M342" s="61"/>
      <c r="N342" s="61"/>
      <c r="O342" s="61"/>
    </row>
    <row r="343" spans="1:17" ht="14.25" customHeight="1">
      <c r="A343" s="63"/>
      <c r="B343" s="63">
        <v>20</v>
      </c>
      <c r="C343" s="64"/>
      <c r="D343" s="65"/>
      <c r="E343" s="65"/>
      <c r="F343" s="93"/>
      <c r="G343" s="94"/>
      <c r="H343" s="95"/>
      <c r="I343" s="66" t="str">
        <f t="shared" si="40"/>
        <v xml:space="preserve"> </v>
      </c>
      <c r="J343" s="67" t="str">
        <f t="shared" si="41"/>
        <v xml:space="preserve"> </v>
      </c>
      <c r="K343" s="68" t="str">
        <f t="shared" si="42"/>
        <v xml:space="preserve"> </v>
      </c>
      <c r="L343" s="67" t="str">
        <f t="shared" si="43"/>
        <v xml:space="preserve"> </v>
      </c>
      <c r="M343" s="61"/>
      <c r="N343" s="61"/>
      <c r="O343" s="61"/>
    </row>
    <row r="344" spans="1:17" ht="14.25" customHeight="1">
      <c r="A344" s="63"/>
      <c r="B344" s="63">
        <v>21</v>
      </c>
      <c r="C344" s="64"/>
      <c r="D344" s="65"/>
      <c r="E344" s="65"/>
      <c r="F344" s="93"/>
      <c r="G344" s="94"/>
      <c r="H344" s="95"/>
      <c r="I344" s="66" t="str">
        <f t="shared" si="40"/>
        <v xml:space="preserve"> </v>
      </c>
      <c r="J344" s="67" t="str">
        <f t="shared" si="41"/>
        <v xml:space="preserve"> </v>
      </c>
      <c r="K344" s="68" t="str">
        <f t="shared" si="42"/>
        <v xml:space="preserve"> </v>
      </c>
      <c r="L344" s="67" t="str">
        <f t="shared" si="43"/>
        <v xml:space="preserve"> </v>
      </c>
      <c r="M344" s="61"/>
      <c r="N344" s="61"/>
      <c r="O344" s="61"/>
    </row>
    <row r="345" spans="1:17" ht="14.25" customHeight="1">
      <c r="A345" s="63"/>
      <c r="B345" s="63">
        <v>22</v>
      </c>
      <c r="C345" s="64"/>
      <c r="D345" s="65"/>
      <c r="E345" s="65"/>
      <c r="F345" s="93"/>
      <c r="G345" s="94"/>
      <c r="H345" s="95"/>
      <c r="I345" s="66" t="str">
        <f t="shared" si="40"/>
        <v xml:space="preserve"> </v>
      </c>
      <c r="J345" s="67" t="str">
        <f t="shared" si="41"/>
        <v xml:space="preserve"> </v>
      </c>
      <c r="K345" s="68" t="str">
        <f t="shared" si="42"/>
        <v xml:space="preserve"> </v>
      </c>
      <c r="L345" s="67" t="str">
        <f t="shared" si="43"/>
        <v xml:space="preserve"> </v>
      </c>
      <c r="M345" s="61"/>
      <c r="N345" s="61"/>
      <c r="O345" s="61"/>
    </row>
    <row r="346" spans="1:17" ht="14.25" customHeight="1">
      <c r="A346" s="63"/>
      <c r="B346" s="63">
        <v>23</v>
      </c>
      <c r="C346" s="64"/>
      <c r="D346" s="65"/>
      <c r="E346" s="65"/>
      <c r="F346" s="93"/>
      <c r="G346" s="94"/>
      <c r="H346" s="95"/>
      <c r="I346" s="66" t="str">
        <f t="shared" si="40"/>
        <v xml:space="preserve"> </v>
      </c>
      <c r="J346" s="67" t="str">
        <f t="shared" si="41"/>
        <v xml:space="preserve"> </v>
      </c>
      <c r="K346" s="68" t="str">
        <f t="shared" si="42"/>
        <v xml:space="preserve"> </v>
      </c>
      <c r="L346" s="67" t="str">
        <f t="shared" si="43"/>
        <v xml:space="preserve"> </v>
      </c>
      <c r="M346" s="61"/>
      <c r="N346" s="61"/>
      <c r="O346" s="61"/>
    </row>
    <row r="347" spans="1:17" ht="14.25" customHeight="1">
      <c r="A347" s="63"/>
      <c r="B347" s="63">
        <v>24</v>
      </c>
      <c r="C347" s="64"/>
      <c r="D347" s="65"/>
      <c r="E347" s="65"/>
      <c r="F347" s="93"/>
      <c r="G347" s="94"/>
      <c r="H347" s="95"/>
      <c r="I347" s="66" t="str">
        <f t="shared" si="40"/>
        <v xml:space="preserve"> </v>
      </c>
      <c r="J347" s="67" t="str">
        <f t="shared" si="41"/>
        <v xml:space="preserve"> </v>
      </c>
      <c r="K347" s="68" t="str">
        <f t="shared" si="42"/>
        <v xml:space="preserve"> </v>
      </c>
      <c r="L347" s="67" t="str">
        <f t="shared" si="43"/>
        <v xml:space="preserve"> </v>
      </c>
      <c r="M347" s="61"/>
      <c r="N347" s="61"/>
      <c r="O347" s="61"/>
    </row>
    <row r="348" spans="1:17" ht="14.25" customHeight="1">
      <c r="A348" s="63"/>
      <c r="B348" s="63">
        <v>25</v>
      </c>
      <c r="C348" s="87"/>
      <c r="D348" s="65"/>
      <c r="E348" s="65"/>
      <c r="F348" s="93"/>
      <c r="G348" s="94"/>
      <c r="H348" s="95"/>
      <c r="I348" s="66" t="str">
        <f t="shared" si="40"/>
        <v xml:space="preserve"> </v>
      </c>
      <c r="J348" s="67" t="str">
        <f t="shared" si="41"/>
        <v xml:space="preserve"> </v>
      </c>
      <c r="K348" s="68" t="str">
        <f t="shared" si="42"/>
        <v xml:space="preserve"> </v>
      </c>
      <c r="L348" s="67" t="str">
        <f t="shared" si="43"/>
        <v xml:space="preserve"> </v>
      </c>
      <c r="M348" s="61"/>
      <c r="N348" s="61"/>
      <c r="O348" s="61"/>
    </row>
    <row r="349" spans="1:17" ht="14.25" customHeight="1">
      <c r="A349" s="99" t="s">
        <v>35</v>
      </c>
      <c r="B349" s="84">
        <f>COUNT(I324:I348)</f>
        <v>0</v>
      </c>
      <c r="C349" s="84">
        <f>COUNT(K324:K348)</f>
        <v>0</v>
      </c>
      <c r="D349" s="84">
        <f>SUM(E324:E348)*2</f>
        <v>0</v>
      </c>
      <c r="E349" s="84"/>
      <c r="F349" s="84"/>
      <c r="G349" s="84"/>
      <c r="H349" s="84"/>
      <c r="I349" s="96" t="s">
        <v>36</v>
      </c>
      <c r="J349" s="97"/>
      <c r="K349" s="98" t="s">
        <v>37</v>
      </c>
      <c r="L349" s="97"/>
      <c r="M349" s="61"/>
      <c r="N349" s="61"/>
      <c r="O349" s="61"/>
    </row>
    <row r="350" spans="1:17" ht="14.25" customHeight="1">
      <c r="A350" s="105"/>
      <c r="B350" s="85"/>
      <c r="C350" s="85"/>
      <c r="D350" s="85"/>
      <c r="E350" s="85"/>
      <c r="F350" s="85"/>
      <c r="G350" s="85"/>
      <c r="H350" s="85"/>
      <c r="I350" s="99">
        <f>I318</f>
        <v>15</v>
      </c>
      <c r="J350" s="100"/>
      <c r="K350" s="103">
        <f>I350*D349*1.07</f>
        <v>0</v>
      </c>
      <c r="L350" s="100"/>
    </row>
    <row r="351" spans="1:17" ht="15.75" customHeight="1">
      <c r="A351" s="101"/>
      <c r="B351" s="86"/>
      <c r="C351" s="86"/>
      <c r="D351" s="86"/>
      <c r="E351" s="86"/>
      <c r="F351" s="86"/>
      <c r="G351" s="86"/>
      <c r="H351" s="86"/>
      <c r="I351" s="101"/>
      <c r="J351" s="102"/>
      <c r="K351" s="104"/>
      <c r="L351" s="102"/>
    </row>
    <row r="352" spans="1:17" ht="14.25" customHeight="1"/>
    <row r="353" spans="1:18" ht="14.25" customHeight="1"/>
    <row r="354" spans="1:18" ht="14.25" customHeight="1">
      <c r="A354" s="106" t="s">
        <v>2</v>
      </c>
      <c r="B354" s="107"/>
      <c r="C354" s="107"/>
      <c r="D354" s="107"/>
      <c r="E354" s="97"/>
      <c r="F354" s="106" t="s">
        <v>3</v>
      </c>
      <c r="G354" s="107"/>
      <c r="H354" s="97"/>
      <c r="I354" s="108" t="s">
        <v>4</v>
      </c>
      <c r="J354" s="109"/>
      <c r="K354" s="110" t="s">
        <v>5</v>
      </c>
      <c r="L354" s="109"/>
      <c r="O354" s="111" t="s">
        <v>7</v>
      </c>
      <c r="P354" s="107"/>
      <c r="Q354" s="107"/>
      <c r="R354" s="97"/>
    </row>
    <row r="355" spans="1:18" ht="14.25" customHeight="1">
      <c r="A355" s="55" t="s">
        <v>8</v>
      </c>
      <c r="B355" s="55" t="s">
        <v>9</v>
      </c>
      <c r="C355" s="55" t="s">
        <v>10</v>
      </c>
      <c r="D355" s="56" t="s">
        <v>11</v>
      </c>
      <c r="E355" s="57" t="s">
        <v>12</v>
      </c>
      <c r="F355" s="117" t="s">
        <v>11</v>
      </c>
      <c r="G355" s="104"/>
      <c r="H355" s="102"/>
      <c r="I355" s="58" t="s">
        <v>13</v>
      </c>
      <c r="J355" s="59" t="s">
        <v>14</v>
      </c>
      <c r="K355" s="60" t="s">
        <v>13</v>
      </c>
      <c r="L355" s="59" t="s">
        <v>14</v>
      </c>
      <c r="M355" s="61"/>
      <c r="N355" s="61"/>
      <c r="O355" s="112" t="s">
        <v>15</v>
      </c>
      <c r="P355" s="113"/>
      <c r="Q355" s="113"/>
      <c r="R355" s="114"/>
    </row>
    <row r="356" spans="1:18" ht="14.25" customHeight="1">
      <c r="A356" s="62">
        <v>42370</v>
      </c>
      <c r="B356" s="63">
        <v>1</v>
      </c>
      <c r="C356" s="64"/>
      <c r="D356" s="65"/>
      <c r="E356" s="65"/>
      <c r="F356" s="118"/>
      <c r="G356" s="119"/>
      <c r="H356" s="109"/>
      <c r="I356" s="66" t="str">
        <f t="shared" ref="I356:I380" si="44">IF(C356="L",IF(F356-D356&gt;0,F356-D356," "),IF(D356-F356&gt;0,D356-F356," "))</f>
        <v xml:space="preserve"> </v>
      </c>
      <c r="J356" s="67" t="str">
        <f t="shared" ref="J356:J380" si="45">IF(C356="L",IF(F356-D356&gt;0,(F356-D356)*200*E356," "),IF(D356-F356&gt;0,(D356-F356)*200*E356," "))</f>
        <v xml:space="preserve"> </v>
      </c>
      <c r="K356" s="68" t="str">
        <f t="shared" ref="K356:K380" si="46">IF(C356="L",IF(F356-D356&lt;0,F356-D356," "),IF(D356-F356&lt;0,D356-F356," "))</f>
        <v xml:space="preserve"> </v>
      </c>
      <c r="L356" s="67" t="str">
        <f t="shared" ref="L356:L380" si="47">IF(C356="L",IF(F356-D356&lt;0,(F356-D356)*200*E356," "),IF(D356-F356&lt;0,(D356-F356)*200*E356," "))</f>
        <v xml:space="preserve"> </v>
      </c>
      <c r="M356" s="61"/>
      <c r="N356" s="61"/>
      <c r="O356" s="22" t="s">
        <v>19</v>
      </c>
      <c r="P356" s="23">
        <f>B381+C381</f>
        <v>0</v>
      </c>
      <c r="Q356" s="115"/>
      <c r="R356" s="116"/>
    </row>
    <row r="357" spans="1:18" ht="14.25" customHeight="1">
      <c r="A357" s="63"/>
      <c r="B357" s="63">
        <v>2</v>
      </c>
      <c r="C357" s="64"/>
      <c r="D357" s="65"/>
      <c r="E357" s="65"/>
      <c r="F357" s="93"/>
      <c r="G357" s="94"/>
      <c r="H357" s="95"/>
      <c r="I357" s="66" t="str">
        <f t="shared" si="44"/>
        <v xml:space="preserve"> </v>
      </c>
      <c r="J357" s="67" t="str">
        <f t="shared" si="45"/>
        <v xml:space="preserve"> </v>
      </c>
      <c r="K357" s="68" t="str">
        <f t="shared" si="46"/>
        <v xml:space="preserve"> </v>
      </c>
      <c r="L357" s="67" t="str">
        <f t="shared" si="47"/>
        <v xml:space="preserve"> </v>
      </c>
      <c r="M357" s="61"/>
      <c r="N357" s="61"/>
      <c r="O357" s="70" t="s">
        <v>20</v>
      </c>
      <c r="P357" s="71" t="e">
        <f>B381/P356*100</f>
        <v>#DIV/0!</v>
      </c>
      <c r="Q357" s="72" t="s">
        <v>21</v>
      </c>
      <c r="R357" s="73" t="e">
        <f>C381/P356*100</f>
        <v>#DIV/0!</v>
      </c>
    </row>
    <row r="358" spans="1:18" ht="14.25" customHeight="1">
      <c r="A358" s="63"/>
      <c r="B358" s="63">
        <v>3</v>
      </c>
      <c r="C358" s="64"/>
      <c r="D358" s="65"/>
      <c r="E358" s="65"/>
      <c r="F358" s="93"/>
      <c r="G358" s="94"/>
      <c r="H358" s="95"/>
      <c r="I358" s="66" t="str">
        <f t="shared" si="44"/>
        <v xml:space="preserve"> </v>
      </c>
      <c r="J358" s="67" t="str">
        <f t="shared" si="45"/>
        <v xml:space="preserve"> </v>
      </c>
      <c r="K358" s="68" t="str">
        <f t="shared" si="46"/>
        <v xml:space="preserve"> </v>
      </c>
      <c r="L358" s="67" t="str">
        <f t="shared" si="47"/>
        <v xml:space="preserve"> </v>
      </c>
      <c r="M358" s="61"/>
      <c r="N358" s="61"/>
      <c r="O358" s="70" t="s">
        <v>22</v>
      </c>
      <c r="P358" s="74" t="e">
        <f>SUM(I356:I380)/B381</f>
        <v>#DIV/0!</v>
      </c>
      <c r="Q358" s="72" t="s">
        <v>23</v>
      </c>
      <c r="R358" s="75" t="e">
        <f>SUM(K356:K380)/C381</f>
        <v>#DIV/0!</v>
      </c>
    </row>
    <row r="359" spans="1:18" ht="14.25" customHeight="1">
      <c r="A359" s="63"/>
      <c r="B359" s="63">
        <v>4</v>
      </c>
      <c r="C359" s="64"/>
      <c r="D359" s="65"/>
      <c r="E359" s="65"/>
      <c r="F359" s="93"/>
      <c r="G359" s="94"/>
      <c r="H359" s="95"/>
      <c r="I359" s="66" t="str">
        <f t="shared" si="44"/>
        <v xml:space="preserve"> </v>
      </c>
      <c r="J359" s="67" t="str">
        <f t="shared" si="45"/>
        <v xml:space="preserve"> </v>
      </c>
      <c r="K359" s="68" t="str">
        <f t="shared" si="46"/>
        <v xml:space="preserve"> </v>
      </c>
      <c r="L359" s="67" t="str">
        <f t="shared" si="47"/>
        <v xml:space="preserve"> </v>
      </c>
      <c r="M359" s="61"/>
      <c r="N359" s="61"/>
      <c r="O359" s="76" t="s">
        <v>24</v>
      </c>
      <c r="P359" s="77">
        <f>SUM(J356:J380)</f>
        <v>0</v>
      </c>
      <c r="Q359" s="78" t="s">
        <v>25</v>
      </c>
      <c r="R359" s="79">
        <f>SUM(L356:L380)</f>
        <v>0</v>
      </c>
    </row>
    <row r="360" spans="1:18" ht="14.25" customHeight="1">
      <c r="A360" s="63"/>
      <c r="B360" s="63">
        <v>5</v>
      </c>
      <c r="C360" s="64"/>
      <c r="D360" s="65"/>
      <c r="E360" s="65"/>
      <c r="F360" s="93"/>
      <c r="G360" s="94"/>
      <c r="H360" s="95"/>
      <c r="I360" s="66" t="str">
        <f t="shared" si="44"/>
        <v xml:space="preserve"> </v>
      </c>
      <c r="J360" s="67" t="str">
        <f t="shared" si="45"/>
        <v xml:space="preserve"> </v>
      </c>
      <c r="K360" s="68" t="str">
        <f t="shared" si="46"/>
        <v xml:space="preserve"> </v>
      </c>
      <c r="L360" s="67" t="str">
        <f t="shared" si="47"/>
        <v xml:space="preserve"> </v>
      </c>
      <c r="M360" s="61"/>
      <c r="N360" s="61"/>
      <c r="O360" s="128" t="s">
        <v>26</v>
      </c>
      <c r="P360" s="119"/>
      <c r="Q360" s="119"/>
      <c r="R360" s="109"/>
    </row>
    <row r="361" spans="1:18" ht="14.25" customHeight="1">
      <c r="A361" s="63"/>
      <c r="B361" s="63">
        <v>6</v>
      </c>
      <c r="C361" s="64"/>
      <c r="D361" s="65"/>
      <c r="E361" s="65"/>
      <c r="F361" s="93"/>
      <c r="G361" s="94"/>
      <c r="H361" s="95"/>
      <c r="I361" s="66" t="str">
        <f t="shared" si="44"/>
        <v xml:space="preserve"> </v>
      </c>
      <c r="J361" s="67" t="str">
        <f t="shared" si="45"/>
        <v xml:space="preserve"> </v>
      </c>
      <c r="K361" s="68" t="str">
        <f t="shared" si="46"/>
        <v xml:space="preserve"> </v>
      </c>
      <c r="L361" s="67" t="str">
        <f t="shared" si="47"/>
        <v xml:space="preserve"> </v>
      </c>
      <c r="M361" s="61"/>
      <c r="N361" s="61"/>
      <c r="O361" s="129" t="s">
        <v>27</v>
      </c>
      <c r="P361" s="131">
        <f>P359+R359-K382</f>
        <v>0</v>
      </c>
      <c r="Q361" s="129" t="s">
        <v>28</v>
      </c>
      <c r="R361" s="133" t="e">
        <f>K382/P361</f>
        <v>#DIV/0!</v>
      </c>
    </row>
    <row r="362" spans="1:18" ht="14.25" customHeight="1">
      <c r="A362" s="63"/>
      <c r="B362" s="63">
        <v>7</v>
      </c>
      <c r="C362" s="64"/>
      <c r="D362" s="65"/>
      <c r="E362" s="65"/>
      <c r="F362" s="93"/>
      <c r="G362" s="94"/>
      <c r="H362" s="95"/>
      <c r="I362" s="66" t="str">
        <f t="shared" si="44"/>
        <v xml:space="preserve"> </v>
      </c>
      <c r="J362" s="67" t="str">
        <f t="shared" si="45"/>
        <v xml:space="preserve"> </v>
      </c>
      <c r="K362" s="68" t="str">
        <f t="shared" si="46"/>
        <v xml:space="preserve"> </v>
      </c>
      <c r="L362" s="67" t="str">
        <f t="shared" si="47"/>
        <v xml:space="preserve"> </v>
      </c>
      <c r="M362" s="61"/>
      <c r="N362" s="61"/>
      <c r="O362" s="130"/>
      <c r="P362" s="132"/>
      <c r="Q362" s="130"/>
      <c r="R362" s="132"/>
    </row>
    <row r="363" spans="1:18" ht="14.25" customHeight="1">
      <c r="A363" s="63"/>
      <c r="B363" s="63">
        <v>8</v>
      </c>
      <c r="C363" s="64"/>
      <c r="D363" s="65"/>
      <c r="E363" s="65"/>
      <c r="F363" s="93"/>
      <c r="G363" s="94"/>
      <c r="H363" s="95"/>
      <c r="I363" s="66" t="str">
        <f t="shared" si="44"/>
        <v xml:space="preserve"> </v>
      </c>
      <c r="J363" s="67" t="str">
        <f t="shared" si="45"/>
        <v xml:space="preserve"> </v>
      </c>
      <c r="K363" s="68" t="str">
        <f t="shared" si="46"/>
        <v xml:space="preserve"> </v>
      </c>
      <c r="L363" s="67" t="str">
        <f t="shared" si="47"/>
        <v xml:space="preserve"> </v>
      </c>
      <c r="M363" s="61"/>
      <c r="N363" s="61"/>
      <c r="O363" s="124" t="s">
        <v>29</v>
      </c>
      <c r="P363" s="125"/>
      <c r="Q363" s="100"/>
      <c r="R363" s="126" t="e">
        <f>IF(R359&lt;0,((P357*P358/100)+(R357*R358/100)),P358)</f>
        <v>#DIV/0!</v>
      </c>
    </row>
    <row r="364" spans="1:18" ht="14.25" customHeight="1">
      <c r="A364" s="63"/>
      <c r="B364" s="63">
        <v>9</v>
      </c>
      <c r="C364" s="64"/>
      <c r="D364" s="65"/>
      <c r="E364" s="65"/>
      <c r="F364" s="93"/>
      <c r="G364" s="94"/>
      <c r="H364" s="95"/>
      <c r="I364" s="66" t="str">
        <f t="shared" si="44"/>
        <v xml:space="preserve"> </v>
      </c>
      <c r="J364" s="67" t="str">
        <f t="shared" si="45"/>
        <v xml:space="preserve"> </v>
      </c>
      <c r="K364" s="68" t="str">
        <f t="shared" si="46"/>
        <v xml:space="preserve"> </v>
      </c>
      <c r="L364" s="67" t="str">
        <f t="shared" si="47"/>
        <v xml:space="preserve"> </v>
      </c>
      <c r="M364" s="61"/>
      <c r="N364" s="61"/>
      <c r="O364" s="101"/>
      <c r="P364" s="104"/>
      <c r="Q364" s="102"/>
      <c r="R364" s="127"/>
    </row>
    <row r="365" spans="1:18" ht="14.25" customHeight="1">
      <c r="A365" s="63"/>
      <c r="B365" s="63">
        <v>10</v>
      </c>
      <c r="C365" s="64"/>
      <c r="D365" s="65"/>
      <c r="E365" s="65"/>
      <c r="F365" s="93"/>
      <c r="G365" s="94"/>
      <c r="H365" s="95"/>
      <c r="I365" s="66" t="str">
        <f t="shared" si="44"/>
        <v xml:space="preserve"> </v>
      </c>
      <c r="J365" s="67" t="str">
        <f t="shared" si="45"/>
        <v xml:space="preserve"> </v>
      </c>
      <c r="K365" s="68" t="str">
        <f t="shared" si="46"/>
        <v xml:space="preserve"> </v>
      </c>
      <c r="L365" s="67" t="str">
        <f t="shared" si="47"/>
        <v xml:space="preserve"> </v>
      </c>
      <c r="M365" s="61"/>
      <c r="N365" s="61"/>
    </row>
    <row r="366" spans="1:18" ht="14.25" customHeight="1">
      <c r="A366" s="63"/>
      <c r="B366" s="63">
        <v>11</v>
      </c>
      <c r="C366" s="64"/>
      <c r="D366" s="65"/>
      <c r="E366" s="65"/>
      <c r="F366" s="93"/>
      <c r="G366" s="94"/>
      <c r="H366" s="95"/>
      <c r="I366" s="66" t="str">
        <f t="shared" si="44"/>
        <v xml:space="preserve"> </v>
      </c>
      <c r="J366" s="67" t="str">
        <f t="shared" si="45"/>
        <v xml:space="preserve"> </v>
      </c>
      <c r="K366" s="68" t="str">
        <f t="shared" si="46"/>
        <v xml:space="preserve"> </v>
      </c>
      <c r="L366" s="67" t="str">
        <f t="shared" si="47"/>
        <v xml:space="preserve"> </v>
      </c>
      <c r="M366" s="61"/>
      <c r="N366" s="61"/>
      <c r="O366" s="134" t="s">
        <v>30</v>
      </c>
      <c r="P366" s="107"/>
      <c r="Q366" s="97"/>
    </row>
    <row r="367" spans="1:18" ht="14.25" customHeight="1">
      <c r="A367" s="63"/>
      <c r="B367" s="63">
        <v>12</v>
      </c>
      <c r="C367" s="64"/>
      <c r="D367" s="65"/>
      <c r="E367" s="65"/>
      <c r="F367" s="93"/>
      <c r="G367" s="94"/>
      <c r="H367" s="95"/>
      <c r="I367" s="66" t="str">
        <f t="shared" si="44"/>
        <v xml:space="preserve"> </v>
      </c>
      <c r="J367" s="67" t="str">
        <f t="shared" si="45"/>
        <v xml:space="preserve"> </v>
      </c>
      <c r="K367" s="68" t="str">
        <f t="shared" si="46"/>
        <v xml:space="preserve"> </v>
      </c>
      <c r="L367" s="67" t="str">
        <f t="shared" si="47"/>
        <v xml:space="preserve"> </v>
      </c>
      <c r="M367" s="61"/>
      <c r="N367" s="61"/>
      <c r="O367" s="80" t="s">
        <v>31</v>
      </c>
      <c r="P367" s="135">
        <f>MAX(I356:I380)</f>
        <v>0</v>
      </c>
      <c r="Q367" s="95"/>
    </row>
    <row r="368" spans="1:18" ht="14.25" customHeight="1">
      <c r="A368" s="63"/>
      <c r="B368" s="63">
        <v>13</v>
      </c>
      <c r="C368" s="64"/>
      <c r="D368" s="65"/>
      <c r="E368" s="65"/>
      <c r="F368" s="93"/>
      <c r="G368" s="94"/>
      <c r="H368" s="95"/>
      <c r="I368" s="66" t="str">
        <f t="shared" si="44"/>
        <v xml:space="preserve"> </v>
      </c>
      <c r="J368" s="67" t="str">
        <f t="shared" si="45"/>
        <v xml:space="preserve"> </v>
      </c>
      <c r="K368" s="68" t="str">
        <f t="shared" si="46"/>
        <v xml:space="preserve"> </v>
      </c>
      <c r="L368" s="67" t="str">
        <f t="shared" si="47"/>
        <v xml:space="preserve"> </v>
      </c>
      <c r="M368" s="61"/>
      <c r="N368" s="61"/>
      <c r="O368" s="81" t="s">
        <v>32</v>
      </c>
      <c r="P368" s="123">
        <f>MAX(J356:J380)</f>
        <v>0</v>
      </c>
      <c r="Q368" s="95"/>
    </row>
    <row r="369" spans="1:17" ht="14.25" customHeight="1">
      <c r="A369" s="63"/>
      <c r="B369" s="63">
        <v>14</v>
      </c>
      <c r="C369" s="64"/>
      <c r="D369" s="65"/>
      <c r="E369" s="65"/>
      <c r="F369" s="93"/>
      <c r="G369" s="94"/>
      <c r="H369" s="95"/>
      <c r="I369" s="66" t="str">
        <f t="shared" si="44"/>
        <v xml:space="preserve"> </v>
      </c>
      <c r="J369" s="67" t="str">
        <f t="shared" si="45"/>
        <v xml:space="preserve"> </v>
      </c>
      <c r="K369" s="68" t="str">
        <f t="shared" si="46"/>
        <v xml:space="preserve"> </v>
      </c>
      <c r="L369" s="67" t="str">
        <f t="shared" si="47"/>
        <v xml:space="preserve"> </v>
      </c>
      <c r="M369" s="61"/>
      <c r="N369" s="61"/>
      <c r="O369" s="82" t="s">
        <v>33</v>
      </c>
      <c r="P369" s="120">
        <f>MIN(K356:K380)</f>
        <v>0</v>
      </c>
      <c r="Q369" s="95"/>
    </row>
    <row r="370" spans="1:17" ht="14.25" customHeight="1">
      <c r="A370" s="63"/>
      <c r="B370" s="63">
        <v>15</v>
      </c>
      <c r="C370" s="64"/>
      <c r="D370" s="65"/>
      <c r="E370" s="65"/>
      <c r="F370" s="93"/>
      <c r="G370" s="94"/>
      <c r="H370" s="95"/>
      <c r="I370" s="66" t="str">
        <f t="shared" si="44"/>
        <v xml:space="preserve"> </v>
      </c>
      <c r="J370" s="67" t="str">
        <f t="shared" si="45"/>
        <v xml:space="preserve"> </v>
      </c>
      <c r="K370" s="68" t="str">
        <f t="shared" si="46"/>
        <v xml:space="preserve"> </v>
      </c>
      <c r="L370" s="67" t="str">
        <f t="shared" si="47"/>
        <v xml:space="preserve"> </v>
      </c>
      <c r="M370" s="61"/>
      <c r="N370" s="61"/>
      <c r="O370" s="83" t="s">
        <v>34</v>
      </c>
      <c r="P370" s="121">
        <f>MIN(L356:L380)</f>
        <v>0</v>
      </c>
      <c r="Q370" s="122"/>
    </row>
    <row r="371" spans="1:17" ht="14.25" customHeight="1">
      <c r="A371" s="63"/>
      <c r="B371" s="63">
        <v>16</v>
      </c>
      <c r="C371" s="64"/>
      <c r="D371" s="65"/>
      <c r="E371" s="65"/>
      <c r="F371" s="93"/>
      <c r="G371" s="94"/>
      <c r="H371" s="95"/>
      <c r="I371" s="66" t="str">
        <f t="shared" si="44"/>
        <v xml:space="preserve"> </v>
      </c>
      <c r="J371" s="67" t="str">
        <f t="shared" si="45"/>
        <v xml:space="preserve"> </v>
      </c>
      <c r="K371" s="68" t="str">
        <f t="shared" si="46"/>
        <v xml:space="preserve"> </v>
      </c>
      <c r="L371" s="67" t="str">
        <f t="shared" si="47"/>
        <v xml:space="preserve"> </v>
      </c>
      <c r="M371" s="61"/>
      <c r="N371" s="61"/>
      <c r="O371" s="61"/>
    </row>
    <row r="372" spans="1:17" ht="14.25" customHeight="1">
      <c r="A372" s="63"/>
      <c r="B372" s="63">
        <v>17</v>
      </c>
      <c r="C372" s="64"/>
      <c r="D372" s="65"/>
      <c r="E372" s="65"/>
      <c r="F372" s="93"/>
      <c r="G372" s="94"/>
      <c r="H372" s="95"/>
      <c r="I372" s="66" t="str">
        <f t="shared" si="44"/>
        <v xml:space="preserve"> </v>
      </c>
      <c r="J372" s="67" t="str">
        <f t="shared" si="45"/>
        <v xml:space="preserve"> </v>
      </c>
      <c r="K372" s="68" t="str">
        <f t="shared" si="46"/>
        <v xml:space="preserve"> </v>
      </c>
      <c r="L372" s="67" t="str">
        <f t="shared" si="47"/>
        <v xml:space="preserve"> </v>
      </c>
      <c r="M372" s="61"/>
      <c r="N372" s="61"/>
      <c r="O372" s="61"/>
    </row>
    <row r="373" spans="1:17" ht="14.25" customHeight="1">
      <c r="A373" s="63"/>
      <c r="B373" s="63">
        <v>18</v>
      </c>
      <c r="C373" s="64"/>
      <c r="D373" s="65"/>
      <c r="E373" s="65"/>
      <c r="F373" s="93"/>
      <c r="G373" s="94"/>
      <c r="H373" s="95"/>
      <c r="I373" s="66" t="str">
        <f t="shared" si="44"/>
        <v xml:space="preserve"> </v>
      </c>
      <c r="J373" s="67" t="str">
        <f t="shared" si="45"/>
        <v xml:space="preserve"> </v>
      </c>
      <c r="K373" s="68" t="str">
        <f t="shared" si="46"/>
        <v xml:space="preserve"> </v>
      </c>
      <c r="L373" s="67" t="str">
        <f t="shared" si="47"/>
        <v xml:space="preserve"> </v>
      </c>
      <c r="M373" s="61"/>
      <c r="N373" s="61"/>
      <c r="O373" s="61"/>
    </row>
    <row r="374" spans="1:17" ht="14.25" customHeight="1">
      <c r="A374" s="63"/>
      <c r="B374" s="63">
        <v>19</v>
      </c>
      <c r="C374" s="64"/>
      <c r="D374" s="65"/>
      <c r="E374" s="65"/>
      <c r="F374" s="93"/>
      <c r="G374" s="94"/>
      <c r="H374" s="95"/>
      <c r="I374" s="66" t="str">
        <f t="shared" si="44"/>
        <v xml:space="preserve"> </v>
      </c>
      <c r="J374" s="67" t="str">
        <f t="shared" si="45"/>
        <v xml:space="preserve"> </v>
      </c>
      <c r="K374" s="68" t="str">
        <f t="shared" si="46"/>
        <v xml:space="preserve"> </v>
      </c>
      <c r="L374" s="67" t="str">
        <f t="shared" si="47"/>
        <v xml:space="preserve"> </v>
      </c>
      <c r="M374" s="61"/>
      <c r="N374" s="61"/>
      <c r="O374" s="61"/>
    </row>
    <row r="375" spans="1:17" ht="14.25" customHeight="1">
      <c r="A375" s="63"/>
      <c r="B375" s="63">
        <v>20</v>
      </c>
      <c r="C375" s="64"/>
      <c r="D375" s="65"/>
      <c r="E375" s="65"/>
      <c r="F375" s="93"/>
      <c r="G375" s="94"/>
      <c r="H375" s="95"/>
      <c r="I375" s="66" t="str">
        <f t="shared" si="44"/>
        <v xml:space="preserve"> </v>
      </c>
      <c r="J375" s="67" t="str">
        <f t="shared" si="45"/>
        <v xml:space="preserve"> </v>
      </c>
      <c r="K375" s="68" t="str">
        <f t="shared" si="46"/>
        <v xml:space="preserve"> </v>
      </c>
      <c r="L375" s="67" t="str">
        <f t="shared" si="47"/>
        <v xml:space="preserve"> </v>
      </c>
      <c r="M375" s="61"/>
      <c r="N375" s="61"/>
      <c r="O375" s="61"/>
    </row>
    <row r="376" spans="1:17" ht="14.25" customHeight="1">
      <c r="A376" s="63"/>
      <c r="B376" s="63">
        <v>21</v>
      </c>
      <c r="C376" s="64"/>
      <c r="D376" s="65"/>
      <c r="E376" s="65"/>
      <c r="F376" s="93"/>
      <c r="G376" s="94"/>
      <c r="H376" s="95"/>
      <c r="I376" s="66" t="str">
        <f t="shared" si="44"/>
        <v xml:space="preserve"> </v>
      </c>
      <c r="J376" s="67" t="str">
        <f t="shared" si="45"/>
        <v xml:space="preserve"> </v>
      </c>
      <c r="K376" s="68" t="str">
        <f t="shared" si="46"/>
        <v xml:space="preserve"> </v>
      </c>
      <c r="L376" s="67" t="str">
        <f t="shared" si="47"/>
        <v xml:space="preserve"> </v>
      </c>
      <c r="M376" s="61"/>
      <c r="N376" s="61"/>
      <c r="O376" s="61"/>
    </row>
    <row r="377" spans="1:17" ht="14.25" customHeight="1">
      <c r="A377" s="63"/>
      <c r="B377" s="63">
        <v>22</v>
      </c>
      <c r="C377" s="64"/>
      <c r="D377" s="65"/>
      <c r="E377" s="65"/>
      <c r="F377" s="93"/>
      <c r="G377" s="94"/>
      <c r="H377" s="95"/>
      <c r="I377" s="66" t="str">
        <f t="shared" si="44"/>
        <v xml:space="preserve"> </v>
      </c>
      <c r="J377" s="67" t="str">
        <f t="shared" si="45"/>
        <v xml:space="preserve"> </v>
      </c>
      <c r="K377" s="68" t="str">
        <f t="shared" si="46"/>
        <v xml:space="preserve"> </v>
      </c>
      <c r="L377" s="67" t="str">
        <f t="shared" si="47"/>
        <v xml:space="preserve"> </v>
      </c>
      <c r="M377" s="61"/>
      <c r="N377" s="61"/>
      <c r="O377" s="61"/>
    </row>
    <row r="378" spans="1:17" ht="14.25" customHeight="1">
      <c r="A378" s="63"/>
      <c r="B378" s="63">
        <v>23</v>
      </c>
      <c r="C378" s="64"/>
      <c r="D378" s="65"/>
      <c r="E378" s="65"/>
      <c r="F378" s="93"/>
      <c r="G378" s="94"/>
      <c r="H378" s="95"/>
      <c r="I378" s="66" t="str">
        <f t="shared" si="44"/>
        <v xml:space="preserve"> </v>
      </c>
      <c r="J378" s="67" t="str">
        <f t="shared" si="45"/>
        <v xml:space="preserve"> </v>
      </c>
      <c r="K378" s="68" t="str">
        <f t="shared" si="46"/>
        <v xml:space="preserve"> </v>
      </c>
      <c r="L378" s="67" t="str">
        <f t="shared" si="47"/>
        <v xml:space="preserve"> </v>
      </c>
      <c r="M378" s="61"/>
      <c r="N378" s="61"/>
      <c r="O378" s="61"/>
    </row>
    <row r="379" spans="1:17" ht="14.25" customHeight="1">
      <c r="A379" s="63"/>
      <c r="B379" s="63">
        <v>24</v>
      </c>
      <c r="C379" s="64"/>
      <c r="D379" s="65"/>
      <c r="E379" s="65"/>
      <c r="F379" s="93"/>
      <c r="G379" s="94"/>
      <c r="H379" s="95"/>
      <c r="I379" s="66" t="str">
        <f t="shared" si="44"/>
        <v xml:space="preserve"> </v>
      </c>
      <c r="J379" s="67" t="str">
        <f t="shared" si="45"/>
        <v xml:space="preserve"> </v>
      </c>
      <c r="K379" s="68" t="str">
        <f t="shared" si="46"/>
        <v xml:space="preserve"> </v>
      </c>
      <c r="L379" s="67" t="str">
        <f t="shared" si="47"/>
        <v xml:space="preserve"> </v>
      </c>
      <c r="M379" s="61"/>
      <c r="N379" s="61"/>
      <c r="O379" s="61"/>
    </row>
    <row r="380" spans="1:17" ht="14.25" customHeight="1">
      <c r="A380" s="63"/>
      <c r="B380" s="63">
        <v>25</v>
      </c>
      <c r="C380" s="87"/>
      <c r="D380" s="65"/>
      <c r="E380" s="65"/>
      <c r="F380" s="93"/>
      <c r="G380" s="94"/>
      <c r="H380" s="95"/>
      <c r="I380" s="66" t="str">
        <f t="shared" si="44"/>
        <v xml:space="preserve"> </v>
      </c>
      <c r="J380" s="67" t="str">
        <f t="shared" si="45"/>
        <v xml:space="preserve"> </v>
      </c>
      <c r="K380" s="68" t="str">
        <f t="shared" si="46"/>
        <v xml:space="preserve"> </v>
      </c>
      <c r="L380" s="67" t="str">
        <f t="shared" si="47"/>
        <v xml:space="preserve"> </v>
      </c>
      <c r="M380" s="61"/>
      <c r="N380" s="61"/>
      <c r="O380" s="61"/>
    </row>
    <row r="381" spans="1:17" ht="14.25" customHeight="1">
      <c r="A381" s="99" t="s">
        <v>35</v>
      </c>
      <c r="B381" s="84">
        <f>COUNT(I356:I380)</f>
        <v>0</v>
      </c>
      <c r="C381" s="84">
        <f>COUNT(K356:K380)</f>
        <v>0</v>
      </c>
      <c r="D381" s="84">
        <f>SUM(E356:E380)*2</f>
        <v>0</v>
      </c>
      <c r="E381" s="84"/>
      <c r="F381" s="84"/>
      <c r="G381" s="84"/>
      <c r="H381" s="84"/>
      <c r="I381" s="96" t="s">
        <v>36</v>
      </c>
      <c r="J381" s="97"/>
      <c r="K381" s="98" t="s">
        <v>37</v>
      </c>
      <c r="L381" s="97"/>
      <c r="M381" s="61"/>
      <c r="N381" s="61"/>
      <c r="O381" s="61"/>
    </row>
    <row r="382" spans="1:17" ht="14.25" customHeight="1">
      <c r="A382" s="105"/>
      <c r="B382" s="85"/>
      <c r="C382" s="85"/>
      <c r="D382" s="85"/>
      <c r="E382" s="85"/>
      <c r="F382" s="85"/>
      <c r="G382" s="85"/>
      <c r="H382" s="85"/>
      <c r="I382" s="99">
        <f>I350</f>
        <v>15</v>
      </c>
      <c r="J382" s="100"/>
      <c r="K382" s="103">
        <f>I382*D381*1.07</f>
        <v>0</v>
      </c>
      <c r="L382" s="100"/>
    </row>
    <row r="383" spans="1:17" ht="15.75" customHeight="1">
      <c r="A383" s="101"/>
      <c r="B383" s="86"/>
      <c r="C383" s="86"/>
      <c r="D383" s="86"/>
      <c r="E383" s="86"/>
      <c r="F383" s="86"/>
      <c r="G383" s="86"/>
      <c r="H383" s="86"/>
      <c r="I383" s="101"/>
      <c r="J383" s="102"/>
      <c r="K383" s="104"/>
      <c r="L383" s="102"/>
    </row>
    <row r="384" spans="1:17" ht="14.25" customHeight="1"/>
    <row r="385" spans="1:18" ht="14.25" customHeight="1"/>
    <row r="386" spans="1:18" ht="14.25" customHeight="1">
      <c r="A386" s="106" t="s">
        <v>2</v>
      </c>
      <c r="B386" s="107"/>
      <c r="C386" s="107"/>
      <c r="D386" s="107"/>
      <c r="E386" s="97"/>
      <c r="F386" s="106" t="s">
        <v>3</v>
      </c>
      <c r="G386" s="107"/>
      <c r="H386" s="97"/>
      <c r="I386" s="108" t="s">
        <v>4</v>
      </c>
      <c r="J386" s="109"/>
      <c r="K386" s="110" t="s">
        <v>5</v>
      </c>
      <c r="L386" s="109"/>
      <c r="O386" s="111" t="s">
        <v>7</v>
      </c>
      <c r="P386" s="107"/>
      <c r="Q386" s="107"/>
      <c r="R386" s="97"/>
    </row>
    <row r="387" spans="1:18" ht="14.25" customHeight="1">
      <c r="A387" s="55" t="s">
        <v>8</v>
      </c>
      <c r="B387" s="55" t="s">
        <v>9</v>
      </c>
      <c r="C387" s="55" t="s">
        <v>10</v>
      </c>
      <c r="D387" s="56" t="s">
        <v>11</v>
      </c>
      <c r="E387" s="57" t="s">
        <v>12</v>
      </c>
      <c r="F387" s="117" t="s">
        <v>11</v>
      </c>
      <c r="G387" s="104"/>
      <c r="H387" s="102"/>
      <c r="I387" s="58" t="s">
        <v>13</v>
      </c>
      <c r="J387" s="59" t="s">
        <v>14</v>
      </c>
      <c r="K387" s="60" t="s">
        <v>13</v>
      </c>
      <c r="L387" s="59" t="s">
        <v>14</v>
      </c>
      <c r="M387" s="61"/>
      <c r="N387" s="61"/>
      <c r="O387" s="112" t="s">
        <v>15</v>
      </c>
      <c r="P387" s="113"/>
      <c r="Q387" s="113"/>
      <c r="R387" s="114"/>
    </row>
    <row r="388" spans="1:18" ht="14.25" customHeight="1">
      <c r="A388" s="62">
        <v>42370</v>
      </c>
      <c r="B388" s="63">
        <v>1</v>
      </c>
      <c r="C388" s="64"/>
      <c r="D388" s="65"/>
      <c r="E388" s="65"/>
      <c r="F388" s="118"/>
      <c r="G388" s="119"/>
      <c r="H388" s="109"/>
      <c r="I388" s="66" t="str">
        <f t="shared" ref="I388:I412" si="48">IF(C388="L",IF(F388-D388&gt;0,F388-D388," "),IF(D388-F388&gt;0,D388-F388," "))</f>
        <v xml:space="preserve"> </v>
      </c>
      <c r="J388" s="67" t="str">
        <f t="shared" ref="J388:J412" si="49">IF(C388="L",IF(F388-D388&gt;0,(F388-D388)*200*E388," "),IF(D388-F388&gt;0,(D388-F388)*200*E388," "))</f>
        <v xml:space="preserve"> </v>
      </c>
      <c r="K388" s="68" t="str">
        <f t="shared" ref="K388:K412" si="50">IF(C388="L",IF(F388-D388&lt;0,F388-D388," "),IF(D388-F388&lt;0,D388-F388," "))</f>
        <v xml:space="preserve"> </v>
      </c>
      <c r="L388" s="67" t="str">
        <f t="shared" ref="L388:L412" si="51">IF(C388="L",IF(F388-D388&lt;0,(F388-D388)*200*E388," "),IF(D388-F388&lt;0,(D388-F388)*200*E388," "))</f>
        <v xml:space="preserve"> </v>
      </c>
      <c r="M388" s="61"/>
      <c r="N388" s="61"/>
      <c r="O388" s="22" t="s">
        <v>19</v>
      </c>
      <c r="P388" s="23">
        <f>B413+C413</f>
        <v>0</v>
      </c>
      <c r="Q388" s="115"/>
      <c r="R388" s="116"/>
    </row>
    <row r="389" spans="1:18" ht="14.25" customHeight="1">
      <c r="A389" s="63"/>
      <c r="B389" s="63">
        <v>2</v>
      </c>
      <c r="C389" s="64"/>
      <c r="D389" s="65"/>
      <c r="E389" s="65"/>
      <c r="F389" s="93"/>
      <c r="G389" s="94"/>
      <c r="H389" s="95"/>
      <c r="I389" s="66" t="str">
        <f t="shared" si="48"/>
        <v xml:space="preserve"> </v>
      </c>
      <c r="J389" s="67" t="str">
        <f t="shared" si="49"/>
        <v xml:space="preserve"> </v>
      </c>
      <c r="K389" s="68" t="str">
        <f t="shared" si="50"/>
        <v xml:space="preserve"> </v>
      </c>
      <c r="L389" s="67" t="str">
        <f t="shared" si="51"/>
        <v xml:space="preserve"> </v>
      </c>
      <c r="M389" s="61"/>
      <c r="N389" s="61"/>
      <c r="O389" s="70" t="s">
        <v>20</v>
      </c>
      <c r="P389" s="71" t="e">
        <f>B413/P388*100</f>
        <v>#DIV/0!</v>
      </c>
      <c r="Q389" s="72" t="s">
        <v>21</v>
      </c>
      <c r="R389" s="73" t="e">
        <f>C413/P388*100</f>
        <v>#DIV/0!</v>
      </c>
    </row>
    <row r="390" spans="1:18" ht="14.25" customHeight="1">
      <c r="A390" s="63"/>
      <c r="B390" s="63">
        <v>3</v>
      </c>
      <c r="C390" s="64"/>
      <c r="D390" s="65"/>
      <c r="E390" s="65"/>
      <c r="F390" s="93"/>
      <c r="G390" s="94"/>
      <c r="H390" s="95"/>
      <c r="I390" s="66" t="str">
        <f t="shared" si="48"/>
        <v xml:space="preserve"> </v>
      </c>
      <c r="J390" s="67" t="str">
        <f t="shared" si="49"/>
        <v xml:space="preserve"> </v>
      </c>
      <c r="K390" s="68" t="str">
        <f t="shared" si="50"/>
        <v xml:space="preserve"> </v>
      </c>
      <c r="L390" s="67" t="str">
        <f t="shared" si="51"/>
        <v xml:space="preserve"> </v>
      </c>
      <c r="M390" s="61"/>
      <c r="N390" s="61"/>
      <c r="O390" s="70" t="s">
        <v>22</v>
      </c>
      <c r="P390" s="74" t="e">
        <f>SUM(I388:I412)/B413</f>
        <v>#DIV/0!</v>
      </c>
      <c r="Q390" s="72" t="s">
        <v>23</v>
      </c>
      <c r="R390" s="75" t="e">
        <f>SUM(K388:K412)/C413</f>
        <v>#DIV/0!</v>
      </c>
    </row>
    <row r="391" spans="1:18" ht="14.25" customHeight="1">
      <c r="A391" s="63"/>
      <c r="B391" s="63">
        <v>4</v>
      </c>
      <c r="C391" s="64"/>
      <c r="D391" s="65"/>
      <c r="E391" s="65"/>
      <c r="F391" s="93"/>
      <c r="G391" s="94"/>
      <c r="H391" s="95"/>
      <c r="I391" s="66" t="str">
        <f t="shared" si="48"/>
        <v xml:space="preserve"> </v>
      </c>
      <c r="J391" s="67" t="str">
        <f t="shared" si="49"/>
        <v xml:space="preserve"> </v>
      </c>
      <c r="K391" s="68" t="str">
        <f t="shared" si="50"/>
        <v xml:space="preserve"> </v>
      </c>
      <c r="L391" s="67" t="str">
        <f t="shared" si="51"/>
        <v xml:space="preserve"> </v>
      </c>
      <c r="M391" s="61"/>
      <c r="N391" s="61"/>
      <c r="O391" s="76" t="s">
        <v>24</v>
      </c>
      <c r="P391" s="77">
        <f>SUM(J388:J412)</f>
        <v>0</v>
      </c>
      <c r="Q391" s="78" t="s">
        <v>25</v>
      </c>
      <c r="R391" s="79">
        <f>SUM(L388:L412)</f>
        <v>0</v>
      </c>
    </row>
    <row r="392" spans="1:18" ht="14.25" customHeight="1">
      <c r="A392" s="63"/>
      <c r="B392" s="63">
        <v>5</v>
      </c>
      <c r="C392" s="64"/>
      <c r="D392" s="65"/>
      <c r="E392" s="65"/>
      <c r="F392" s="93"/>
      <c r="G392" s="94"/>
      <c r="H392" s="95"/>
      <c r="I392" s="66" t="str">
        <f t="shared" si="48"/>
        <v xml:space="preserve"> </v>
      </c>
      <c r="J392" s="67" t="str">
        <f t="shared" si="49"/>
        <v xml:space="preserve"> </v>
      </c>
      <c r="K392" s="68" t="str">
        <f t="shared" si="50"/>
        <v xml:space="preserve"> </v>
      </c>
      <c r="L392" s="67" t="str">
        <f t="shared" si="51"/>
        <v xml:space="preserve"> </v>
      </c>
      <c r="M392" s="61"/>
      <c r="N392" s="61"/>
      <c r="O392" s="128" t="s">
        <v>26</v>
      </c>
      <c r="P392" s="119"/>
      <c r="Q392" s="119"/>
      <c r="R392" s="109"/>
    </row>
    <row r="393" spans="1:18" ht="14.25" customHeight="1">
      <c r="A393" s="63"/>
      <c r="B393" s="63">
        <v>6</v>
      </c>
      <c r="C393" s="64"/>
      <c r="D393" s="65"/>
      <c r="E393" s="65"/>
      <c r="F393" s="93"/>
      <c r="G393" s="94"/>
      <c r="H393" s="95"/>
      <c r="I393" s="66" t="str">
        <f t="shared" si="48"/>
        <v xml:space="preserve"> </v>
      </c>
      <c r="J393" s="67" t="str">
        <f t="shared" si="49"/>
        <v xml:space="preserve"> </v>
      </c>
      <c r="K393" s="68" t="str">
        <f t="shared" si="50"/>
        <v xml:space="preserve"> </v>
      </c>
      <c r="L393" s="67" t="str">
        <f t="shared" si="51"/>
        <v xml:space="preserve"> </v>
      </c>
      <c r="M393" s="61"/>
      <c r="N393" s="61"/>
      <c r="O393" s="129" t="s">
        <v>27</v>
      </c>
      <c r="P393" s="131">
        <f>P391+R391-K414</f>
        <v>0</v>
      </c>
      <c r="Q393" s="129" t="s">
        <v>28</v>
      </c>
      <c r="R393" s="133" t="e">
        <f>K414/P393</f>
        <v>#DIV/0!</v>
      </c>
    </row>
    <row r="394" spans="1:18" ht="14.25" customHeight="1">
      <c r="A394" s="63"/>
      <c r="B394" s="63">
        <v>7</v>
      </c>
      <c r="C394" s="64"/>
      <c r="D394" s="65"/>
      <c r="E394" s="65"/>
      <c r="F394" s="93"/>
      <c r="G394" s="94"/>
      <c r="H394" s="95"/>
      <c r="I394" s="66" t="str">
        <f t="shared" si="48"/>
        <v xml:space="preserve"> </v>
      </c>
      <c r="J394" s="67" t="str">
        <f t="shared" si="49"/>
        <v xml:space="preserve"> </v>
      </c>
      <c r="K394" s="68" t="str">
        <f t="shared" si="50"/>
        <v xml:space="preserve"> </v>
      </c>
      <c r="L394" s="67" t="str">
        <f t="shared" si="51"/>
        <v xml:space="preserve"> </v>
      </c>
      <c r="M394" s="61"/>
      <c r="N394" s="61"/>
      <c r="O394" s="130"/>
      <c r="P394" s="132"/>
      <c r="Q394" s="130"/>
      <c r="R394" s="132"/>
    </row>
    <row r="395" spans="1:18" ht="14.25" customHeight="1">
      <c r="A395" s="63"/>
      <c r="B395" s="63">
        <v>8</v>
      </c>
      <c r="C395" s="64"/>
      <c r="D395" s="65"/>
      <c r="E395" s="65"/>
      <c r="F395" s="93"/>
      <c r="G395" s="94"/>
      <c r="H395" s="95"/>
      <c r="I395" s="66" t="str">
        <f t="shared" si="48"/>
        <v xml:space="preserve"> </v>
      </c>
      <c r="J395" s="67" t="str">
        <f t="shared" si="49"/>
        <v xml:space="preserve"> </v>
      </c>
      <c r="K395" s="68" t="str">
        <f t="shared" si="50"/>
        <v xml:space="preserve"> </v>
      </c>
      <c r="L395" s="67" t="str">
        <f t="shared" si="51"/>
        <v xml:space="preserve"> </v>
      </c>
      <c r="M395" s="61"/>
      <c r="N395" s="61"/>
      <c r="O395" s="124" t="s">
        <v>29</v>
      </c>
      <c r="P395" s="125"/>
      <c r="Q395" s="100"/>
      <c r="R395" s="126" t="e">
        <f>IF(R391&lt;0,((P389*P390/100)+(R389*R390/100)),P390)</f>
        <v>#DIV/0!</v>
      </c>
    </row>
    <row r="396" spans="1:18" ht="14.25" customHeight="1">
      <c r="A396" s="63"/>
      <c r="B396" s="63">
        <v>9</v>
      </c>
      <c r="C396" s="64"/>
      <c r="D396" s="65"/>
      <c r="E396" s="65"/>
      <c r="F396" s="93"/>
      <c r="G396" s="94"/>
      <c r="H396" s="95"/>
      <c r="I396" s="66" t="str">
        <f t="shared" si="48"/>
        <v xml:space="preserve"> </v>
      </c>
      <c r="J396" s="67" t="str">
        <f t="shared" si="49"/>
        <v xml:space="preserve"> </v>
      </c>
      <c r="K396" s="68" t="str">
        <f t="shared" si="50"/>
        <v xml:space="preserve"> </v>
      </c>
      <c r="L396" s="67" t="str">
        <f t="shared" si="51"/>
        <v xml:space="preserve"> </v>
      </c>
      <c r="M396" s="61"/>
      <c r="N396" s="61"/>
      <c r="O396" s="101"/>
      <c r="P396" s="104"/>
      <c r="Q396" s="102"/>
      <c r="R396" s="127"/>
    </row>
    <row r="397" spans="1:18" ht="14.25" customHeight="1">
      <c r="A397" s="63"/>
      <c r="B397" s="63">
        <v>10</v>
      </c>
      <c r="C397" s="64"/>
      <c r="D397" s="65"/>
      <c r="E397" s="65"/>
      <c r="F397" s="93"/>
      <c r="G397" s="94"/>
      <c r="H397" s="95"/>
      <c r="I397" s="66" t="str">
        <f t="shared" si="48"/>
        <v xml:space="preserve"> </v>
      </c>
      <c r="J397" s="67" t="str">
        <f t="shared" si="49"/>
        <v xml:space="preserve"> </v>
      </c>
      <c r="K397" s="68" t="str">
        <f t="shared" si="50"/>
        <v xml:space="preserve"> </v>
      </c>
      <c r="L397" s="67" t="str">
        <f t="shared" si="51"/>
        <v xml:space="preserve"> </v>
      </c>
      <c r="M397" s="61"/>
      <c r="N397" s="61"/>
    </row>
    <row r="398" spans="1:18" ht="14.25" customHeight="1">
      <c r="A398" s="63"/>
      <c r="B398" s="63">
        <v>11</v>
      </c>
      <c r="C398" s="64"/>
      <c r="D398" s="65"/>
      <c r="E398" s="65"/>
      <c r="F398" s="93"/>
      <c r="G398" s="94"/>
      <c r="H398" s="95"/>
      <c r="I398" s="66" t="str">
        <f t="shared" si="48"/>
        <v xml:space="preserve"> </v>
      </c>
      <c r="J398" s="67" t="str">
        <f t="shared" si="49"/>
        <v xml:space="preserve"> </v>
      </c>
      <c r="K398" s="68" t="str">
        <f t="shared" si="50"/>
        <v xml:space="preserve"> </v>
      </c>
      <c r="L398" s="67" t="str">
        <f t="shared" si="51"/>
        <v xml:space="preserve"> </v>
      </c>
      <c r="M398" s="61"/>
      <c r="N398" s="61"/>
      <c r="O398" s="134" t="s">
        <v>30</v>
      </c>
      <c r="P398" s="107"/>
      <c r="Q398" s="97"/>
    </row>
    <row r="399" spans="1:18" ht="14.25" customHeight="1">
      <c r="A399" s="63"/>
      <c r="B399" s="63">
        <v>12</v>
      </c>
      <c r="C399" s="64"/>
      <c r="D399" s="65"/>
      <c r="E399" s="65"/>
      <c r="F399" s="93"/>
      <c r="G399" s="94"/>
      <c r="H399" s="95"/>
      <c r="I399" s="66" t="str">
        <f t="shared" si="48"/>
        <v xml:space="preserve"> </v>
      </c>
      <c r="J399" s="67" t="str">
        <f t="shared" si="49"/>
        <v xml:space="preserve"> </v>
      </c>
      <c r="K399" s="68" t="str">
        <f t="shared" si="50"/>
        <v xml:space="preserve"> </v>
      </c>
      <c r="L399" s="67" t="str">
        <f t="shared" si="51"/>
        <v xml:space="preserve"> </v>
      </c>
      <c r="M399" s="61"/>
      <c r="N399" s="61"/>
      <c r="O399" s="80" t="s">
        <v>31</v>
      </c>
      <c r="P399" s="135">
        <f>MAX(I388:I412)</f>
        <v>0</v>
      </c>
      <c r="Q399" s="95"/>
    </row>
    <row r="400" spans="1:18" ht="14.25" customHeight="1">
      <c r="A400" s="63"/>
      <c r="B400" s="63">
        <v>13</v>
      </c>
      <c r="C400" s="64"/>
      <c r="D400" s="65"/>
      <c r="E400" s="65"/>
      <c r="F400" s="93"/>
      <c r="G400" s="94"/>
      <c r="H400" s="95"/>
      <c r="I400" s="66" t="str">
        <f t="shared" si="48"/>
        <v xml:space="preserve"> </v>
      </c>
      <c r="J400" s="67" t="str">
        <f t="shared" si="49"/>
        <v xml:space="preserve"> </v>
      </c>
      <c r="K400" s="68" t="str">
        <f t="shared" si="50"/>
        <v xml:space="preserve"> </v>
      </c>
      <c r="L400" s="67" t="str">
        <f t="shared" si="51"/>
        <v xml:space="preserve"> </v>
      </c>
      <c r="M400" s="61"/>
      <c r="N400" s="61"/>
      <c r="O400" s="81" t="s">
        <v>32</v>
      </c>
      <c r="P400" s="123">
        <f>MAX(J388:J412)</f>
        <v>0</v>
      </c>
      <c r="Q400" s="95"/>
    </row>
    <row r="401" spans="1:17" ht="14.25" customHeight="1">
      <c r="A401" s="63"/>
      <c r="B401" s="63">
        <v>14</v>
      </c>
      <c r="C401" s="64"/>
      <c r="D401" s="65"/>
      <c r="E401" s="65"/>
      <c r="F401" s="93"/>
      <c r="G401" s="94"/>
      <c r="H401" s="95"/>
      <c r="I401" s="66" t="str">
        <f t="shared" si="48"/>
        <v xml:space="preserve"> </v>
      </c>
      <c r="J401" s="67" t="str">
        <f t="shared" si="49"/>
        <v xml:space="preserve"> </v>
      </c>
      <c r="K401" s="68" t="str">
        <f t="shared" si="50"/>
        <v xml:space="preserve"> </v>
      </c>
      <c r="L401" s="67" t="str">
        <f t="shared" si="51"/>
        <v xml:space="preserve"> </v>
      </c>
      <c r="M401" s="61"/>
      <c r="N401" s="61"/>
      <c r="O401" s="82" t="s">
        <v>33</v>
      </c>
      <c r="P401" s="120">
        <f>MIN(K388:K412)</f>
        <v>0</v>
      </c>
      <c r="Q401" s="95"/>
    </row>
    <row r="402" spans="1:17" ht="14.25" customHeight="1">
      <c r="A402" s="63"/>
      <c r="B402" s="63">
        <v>15</v>
      </c>
      <c r="C402" s="64"/>
      <c r="D402" s="65"/>
      <c r="E402" s="65"/>
      <c r="F402" s="93"/>
      <c r="G402" s="94"/>
      <c r="H402" s="95"/>
      <c r="I402" s="66" t="str">
        <f t="shared" si="48"/>
        <v xml:space="preserve"> </v>
      </c>
      <c r="J402" s="67" t="str">
        <f t="shared" si="49"/>
        <v xml:space="preserve"> </v>
      </c>
      <c r="K402" s="68" t="str">
        <f t="shared" si="50"/>
        <v xml:space="preserve"> </v>
      </c>
      <c r="L402" s="67" t="str">
        <f t="shared" si="51"/>
        <v xml:space="preserve"> </v>
      </c>
      <c r="M402" s="61"/>
      <c r="N402" s="61"/>
      <c r="O402" s="83" t="s">
        <v>34</v>
      </c>
      <c r="P402" s="121">
        <f>MIN(L388:L412)</f>
        <v>0</v>
      </c>
      <c r="Q402" s="122"/>
    </row>
    <row r="403" spans="1:17" ht="14.25" customHeight="1">
      <c r="A403" s="63"/>
      <c r="B403" s="63">
        <v>16</v>
      </c>
      <c r="C403" s="64"/>
      <c r="D403" s="65"/>
      <c r="E403" s="65"/>
      <c r="F403" s="93"/>
      <c r="G403" s="94"/>
      <c r="H403" s="95"/>
      <c r="I403" s="66" t="str">
        <f t="shared" si="48"/>
        <v xml:space="preserve"> </v>
      </c>
      <c r="J403" s="67" t="str">
        <f t="shared" si="49"/>
        <v xml:space="preserve"> </v>
      </c>
      <c r="K403" s="68" t="str">
        <f t="shared" si="50"/>
        <v xml:space="preserve"> </v>
      </c>
      <c r="L403" s="67" t="str">
        <f t="shared" si="51"/>
        <v xml:space="preserve"> </v>
      </c>
      <c r="M403" s="61"/>
      <c r="N403" s="61"/>
      <c r="O403" s="61"/>
    </row>
    <row r="404" spans="1:17" ht="14.25" customHeight="1">
      <c r="A404" s="63"/>
      <c r="B404" s="63">
        <v>17</v>
      </c>
      <c r="C404" s="64"/>
      <c r="D404" s="65"/>
      <c r="E404" s="65"/>
      <c r="F404" s="93"/>
      <c r="G404" s="94"/>
      <c r="H404" s="95"/>
      <c r="I404" s="66" t="str">
        <f t="shared" si="48"/>
        <v xml:space="preserve"> </v>
      </c>
      <c r="J404" s="67" t="str">
        <f t="shared" si="49"/>
        <v xml:space="preserve"> </v>
      </c>
      <c r="K404" s="68" t="str">
        <f t="shared" si="50"/>
        <v xml:space="preserve"> </v>
      </c>
      <c r="L404" s="67" t="str">
        <f t="shared" si="51"/>
        <v xml:space="preserve"> </v>
      </c>
      <c r="M404" s="61"/>
      <c r="N404" s="61"/>
      <c r="O404" s="61"/>
    </row>
    <row r="405" spans="1:17" ht="14.25" customHeight="1">
      <c r="A405" s="63"/>
      <c r="B405" s="63">
        <v>18</v>
      </c>
      <c r="C405" s="64"/>
      <c r="D405" s="65"/>
      <c r="E405" s="65"/>
      <c r="F405" s="93"/>
      <c r="G405" s="94"/>
      <c r="H405" s="95"/>
      <c r="I405" s="66" t="str">
        <f t="shared" si="48"/>
        <v xml:space="preserve"> </v>
      </c>
      <c r="J405" s="67" t="str">
        <f t="shared" si="49"/>
        <v xml:space="preserve"> </v>
      </c>
      <c r="K405" s="68" t="str">
        <f t="shared" si="50"/>
        <v xml:space="preserve"> </v>
      </c>
      <c r="L405" s="67" t="str">
        <f t="shared" si="51"/>
        <v xml:space="preserve"> </v>
      </c>
      <c r="M405" s="61"/>
      <c r="N405" s="61"/>
      <c r="O405" s="61"/>
    </row>
    <row r="406" spans="1:17" ht="14.25" customHeight="1">
      <c r="A406" s="63"/>
      <c r="B406" s="63">
        <v>19</v>
      </c>
      <c r="C406" s="64"/>
      <c r="D406" s="65"/>
      <c r="E406" s="65"/>
      <c r="F406" s="93"/>
      <c r="G406" s="94"/>
      <c r="H406" s="95"/>
      <c r="I406" s="66" t="str">
        <f t="shared" si="48"/>
        <v xml:space="preserve"> </v>
      </c>
      <c r="J406" s="67" t="str">
        <f t="shared" si="49"/>
        <v xml:space="preserve"> </v>
      </c>
      <c r="K406" s="68" t="str">
        <f t="shared" si="50"/>
        <v xml:space="preserve"> </v>
      </c>
      <c r="L406" s="67" t="str">
        <f t="shared" si="51"/>
        <v xml:space="preserve"> </v>
      </c>
      <c r="M406" s="61"/>
      <c r="N406" s="61"/>
      <c r="O406" s="61"/>
    </row>
    <row r="407" spans="1:17" ht="14.25" customHeight="1">
      <c r="A407" s="63"/>
      <c r="B407" s="63">
        <v>20</v>
      </c>
      <c r="C407" s="64"/>
      <c r="D407" s="65"/>
      <c r="E407" s="65"/>
      <c r="F407" s="93"/>
      <c r="G407" s="94"/>
      <c r="H407" s="95"/>
      <c r="I407" s="66" t="str">
        <f t="shared" si="48"/>
        <v xml:space="preserve"> </v>
      </c>
      <c r="J407" s="67" t="str">
        <f t="shared" si="49"/>
        <v xml:space="preserve"> </v>
      </c>
      <c r="K407" s="68" t="str">
        <f t="shared" si="50"/>
        <v xml:space="preserve"> </v>
      </c>
      <c r="L407" s="67" t="str">
        <f t="shared" si="51"/>
        <v xml:space="preserve"> </v>
      </c>
      <c r="M407" s="61"/>
      <c r="N407" s="61"/>
      <c r="O407" s="61"/>
    </row>
    <row r="408" spans="1:17" ht="14.25" customHeight="1">
      <c r="A408" s="63"/>
      <c r="B408" s="63">
        <v>21</v>
      </c>
      <c r="C408" s="64"/>
      <c r="D408" s="65"/>
      <c r="E408" s="65"/>
      <c r="F408" s="93"/>
      <c r="G408" s="94"/>
      <c r="H408" s="95"/>
      <c r="I408" s="66" t="str">
        <f t="shared" si="48"/>
        <v xml:space="preserve"> </v>
      </c>
      <c r="J408" s="67" t="str">
        <f t="shared" si="49"/>
        <v xml:space="preserve"> </v>
      </c>
      <c r="K408" s="68" t="str">
        <f t="shared" si="50"/>
        <v xml:space="preserve"> </v>
      </c>
      <c r="L408" s="67" t="str">
        <f t="shared" si="51"/>
        <v xml:space="preserve"> </v>
      </c>
      <c r="M408" s="61"/>
      <c r="N408" s="61"/>
      <c r="O408" s="61"/>
    </row>
    <row r="409" spans="1:17" ht="14.25" customHeight="1">
      <c r="A409" s="63"/>
      <c r="B409" s="63">
        <v>22</v>
      </c>
      <c r="C409" s="64"/>
      <c r="D409" s="65"/>
      <c r="E409" s="65"/>
      <c r="F409" s="93"/>
      <c r="G409" s="94"/>
      <c r="H409" s="95"/>
      <c r="I409" s="66" t="str">
        <f t="shared" si="48"/>
        <v xml:space="preserve"> </v>
      </c>
      <c r="J409" s="67" t="str">
        <f t="shared" si="49"/>
        <v xml:space="preserve"> </v>
      </c>
      <c r="K409" s="68" t="str">
        <f t="shared" si="50"/>
        <v xml:space="preserve"> </v>
      </c>
      <c r="L409" s="67" t="str">
        <f t="shared" si="51"/>
        <v xml:space="preserve"> </v>
      </c>
      <c r="M409" s="61"/>
      <c r="N409" s="61"/>
      <c r="O409" s="61"/>
    </row>
    <row r="410" spans="1:17" ht="14.25" customHeight="1">
      <c r="A410" s="63"/>
      <c r="B410" s="63">
        <v>23</v>
      </c>
      <c r="C410" s="64"/>
      <c r="D410" s="65"/>
      <c r="E410" s="65"/>
      <c r="F410" s="93"/>
      <c r="G410" s="94"/>
      <c r="H410" s="95"/>
      <c r="I410" s="66" t="str">
        <f t="shared" si="48"/>
        <v xml:space="preserve"> </v>
      </c>
      <c r="J410" s="67" t="str">
        <f t="shared" si="49"/>
        <v xml:space="preserve"> </v>
      </c>
      <c r="K410" s="68" t="str">
        <f t="shared" si="50"/>
        <v xml:space="preserve"> </v>
      </c>
      <c r="L410" s="67" t="str">
        <f t="shared" si="51"/>
        <v xml:space="preserve"> </v>
      </c>
      <c r="M410" s="61"/>
      <c r="N410" s="61"/>
      <c r="O410" s="61"/>
    </row>
    <row r="411" spans="1:17" ht="14.25" customHeight="1">
      <c r="A411" s="63"/>
      <c r="B411" s="63">
        <v>24</v>
      </c>
      <c r="C411" s="64"/>
      <c r="D411" s="65"/>
      <c r="E411" s="65"/>
      <c r="F411" s="93"/>
      <c r="G411" s="94"/>
      <c r="H411" s="95"/>
      <c r="I411" s="66" t="str">
        <f t="shared" si="48"/>
        <v xml:space="preserve"> </v>
      </c>
      <c r="J411" s="67" t="str">
        <f t="shared" si="49"/>
        <v xml:space="preserve"> </v>
      </c>
      <c r="K411" s="68" t="str">
        <f t="shared" si="50"/>
        <v xml:space="preserve"> </v>
      </c>
      <c r="L411" s="67" t="str">
        <f t="shared" si="51"/>
        <v xml:space="preserve"> </v>
      </c>
      <c r="M411" s="61"/>
      <c r="N411" s="61"/>
      <c r="O411" s="61"/>
    </row>
    <row r="412" spans="1:17" ht="14.25" customHeight="1">
      <c r="A412" s="63"/>
      <c r="B412" s="63">
        <v>25</v>
      </c>
      <c r="C412" s="87"/>
      <c r="D412" s="65"/>
      <c r="E412" s="65"/>
      <c r="F412" s="93"/>
      <c r="G412" s="94"/>
      <c r="H412" s="95"/>
      <c r="I412" s="66" t="str">
        <f t="shared" si="48"/>
        <v xml:space="preserve"> </v>
      </c>
      <c r="J412" s="67" t="str">
        <f t="shared" si="49"/>
        <v xml:space="preserve"> </v>
      </c>
      <c r="K412" s="68" t="str">
        <f t="shared" si="50"/>
        <v xml:space="preserve"> </v>
      </c>
      <c r="L412" s="67" t="str">
        <f t="shared" si="51"/>
        <v xml:space="preserve"> </v>
      </c>
      <c r="M412" s="61"/>
      <c r="N412" s="61"/>
      <c r="O412" s="61"/>
    </row>
    <row r="413" spans="1:17" ht="14.25" customHeight="1">
      <c r="A413" s="99" t="s">
        <v>35</v>
      </c>
      <c r="B413" s="84">
        <f>COUNT(I388:I412)</f>
        <v>0</v>
      </c>
      <c r="C413" s="84">
        <f>COUNT(K388:K412)</f>
        <v>0</v>
      </c>
      <c r="D413" s="84">
        <f>SUM(E388:E412)*2</f>
        <v>0</v>
      </c>
      <c r="E413" s="84"/>
      <c r="F413" s="84"/>
      <c r="G413" s="84"/>
      <c r="H413" s="84"/>
      <c r="I413" s="96" t="s">
        <v>36</v>
      </c>
      <c r="J413" s="97"/>
      <c r="K413" s="98" t="s">
        <v>37</v>
      </c>
      <c r="L413" s="97"/>
      <c r="M413" s="61"/>
      <c r="N413" s="61"/>
      <c r="O413" s="61"/>
    </row>
    <row r="414" spans="1:17" ht="14.25" customHeight="1">
      <c r="A414" s="105"/>
      <c r="B414" s="85"/>
      <c r="C414" s="85"/>
      <c r="D414" s="85"/>
      <c r="E414" s="85"/>
      <c r="F414" s="85"/>
      <c r="G414" s="85"/>
      <c r="H414" s="85"/>
      <c r="I414" s="99">
        <f>I382</f>
        <v>15</v>
      </c>
      <c r="J414" s="100"/>
      <c r="K414" s="103">
        <f>I414*D413*1.07</f>
        <v>0</v>
      </c>
      <c r="L414" s="100"/>
    </row>
    <row r="415" spans="1:17" ht="15.75" customHeight="1">
      <c r="A415" s="101"/>
      <c r="B415" s="86"/>
      <c r="C415" s="86"/>
      <c r="D415" s="86"/>
      <c r="E415" s="86"/>
      <c r="F415" s="86"/>
      <c r="G415" s="86"/>
      <c r="H415" s="86"/>
      <c r="I415" s="101"/>
      <c r="J415" s="102"/>
      <c r="K415" s="104"/>
      <c r="L415" s="102"/>
    </row>
    <row r="416" spans="1:17" ht="14.25" customHeight="1"/>
    <row r="417" spans="1:18" ht="14.25" customHeight="1"/>
    <row r="418" spans="1:18" ht="14.25" customHeight="1">
      <c r="A418" s="106" t="s">
        <v>2</v>
      </c>
      <c r="B418" s="107"/>
      <c r="C418" s="107"/>
      <c r="D418" s="107"/>
      <c r="E418" s="97"/>
      <c r="F418" s="106" t="s">
        <v>3</v>
      </c>
      <c r="G418" s="107"/>
      <c r="H418" s="97"/>
      <c r="I418" s="108" t="s">
        <v>4</v>
      </c>
      <c r="J418" s="109"/>
      <c r="K418" s="110" t="s">
        <v>5</v>
      </c>
      <c r="L418" s="109"/>
      <c r="O418" s="111" t="s">
        <v>7</v>
      </c>
      <c r="P418" s="107"/>
      <c r="Q418" s="107"/>
      <c r="R418" s="97"/>
    </row>
    <row r="419" spans="1:18" ht="14.25" customHeight="1">
      <c r="A419" s="55" t="s">
        <v>8</v>
      </c>
      <c r="B419" s="55" t="s">
        <v>9</v>
      </c>
      <c r="C419" s="55" t="s">
        <v>10</v>
      </c>
      <c r="D419" s="56" t="s">
        <v>11</v>
      </c>
      <c r="E419" s="57" t="s">
        <v>12</v>
      </c>
      <c r="F419" s="117" t="s">
        <v>11</v>
      </c>
      <c r="G419" s="104"/>
      <c r="H419" s="102"/>
      <c r="I419" s="58" t="s">
        <v>13</v>
      </c>
      <c r="J419" s="59" t="s">
        <v>14</v>
      </c>
      <c r="K419" s="60" t="s">
        <v>13</v>
      </c>
      <c r="L419" s="59" t="s">
        <v>14</v>
      </c>
      <c r="M419" s="61"/>
      <c r="N419" s="61"/>
      <c r="O419" s="112" t="s">
        <v>15</v>
      </c>
      <c r="P419" s="113"/>
      <c r="Q419" s="113"/>
      <c r="R419" s="114"/>
    </row>
    <row r="420" spans="1:18" ht="14.25" customHeight="1">
      <c r="A420" s="62">
        <v>42370</v>
      </c>
      <c r="B420" s="63">
        <v>1</v>
      </c>
      <c r="C420" s="64"/>
      <c r="D420" s="65"/>
      <c r="E420" s="65"/>
      <c r="F420" s="118"/>
      <c r="G420" s="119"/>
      <c r="H420" s="109"/>
      <c r="I420" s="66" t="str">
        <f t="shared" ref="I420:I444" si="52">IF(C420="L",IF(F420-D420&gt;0,F420-D420," "),IF(D420-F420&gt;0,D420-F420," "))</f>
        <v xml:space="preserve"> </v>
      </c>
      <c r="J420" s="67" t="str">
        <f t="shared" ref="J420:J444" si="53">IF(C420="L",IF(F420-D420&gt;0,(F420-D420)*200*E420," "),IF(D420-F420&gt;0,(D420-F420)*200*E420," "))</f>
        <v xml:space="preserve"> </v>
      </c>
      <c r="K420" s="68" t="str">
        <f t="shared" ref="K420:K444" si="54">IF(C420="L",IF(F420-D420&lt;0,F420-D420," "),IF(D420-F420&lt;0,D420-F420," "))</f>
        <v xml:space="preserve"> </v>
      </c>
      <c r="L420" s="67" t="str">
        <f t="shared" ref="L420:L444" si="55">IF(C420="L",IF(F420-D420&lt;0,(F420-D420)*200*E420," "),IF(D420-F420&lt;0,(D420-F420)*200*E420," "))</f>
        <v xml:space="preserve"> </v>
      </c>
      <c r="M420" s="61"/>
      <c r="N420" s="61"/>
      <c r="O420" s="22" t="s">
        <v>19</v>
      </c>
      <c r="P420" s="23">
        <f>B445+C445</f>
        <v>0</v>
      </c>
      <c r="Q420" s="115"/>
      <c r="R420" s="116"/>
    </row>
    <row r="421" spans="1:18" ht="14.25" customHeight="1">
      <c r="A421" s="63"/>
      <c r="B421" s="63">
        <v>2</v>
      </c>
      <c r="C421" s="64"/>
      <c r="D421" s="65"/>
      <c r="E421" s="65"/>
      <c r="F421" s="93"/>
      <c r="G421" s="94"/>
      <c r="H421" s="95"/>
      <c r="I421" s="66" t="str">
        <f t="shared" si="52"/>
        <v xml:space="preserve"> </v>
      </c>
      <c r="J421" s="67" t="str">
        <f t="shared" si="53"/>
        <v xml:space="preserve"> </v>
      </c>
      <c r="K421" s="68" t="str">
        <f t="shared" si="54"/>
        <v xml:space="preserve"> </v>
      </c>
      <c r="L421" s="67" t="str">
        <f t="shared" si="55"/>
        <v xml:space="preserve"> </v>
      </c>
      <c r="M421" s="61"/>
      <c r="N421" s="61"/>
      <c r="O421" s="70" t="s">
        <v>20</v>
      </c>
      <c r="P421" s="71" t="e">
        <f>B445/P420*100</f>
        <v>#DIV/0!</v>
      </c>
      <c r="Q421" s="72" t="s">
        <v>21</v>
      </c>
      <c r="R421" s="73" t="e">
        <f>C445/P420*100</f>
        <v>#DIV/0!</v>
      </c>
    </row>
    <row r="422" spans="1:18" ht="14.25" customHeight="1">
      <c r="A422" s="63"/>
      <c r="B422" s="63">
        <v>3</v>
      </c>
      <c r="C422" s="64"/>
      <c r="D422" s="65"/>
      <c r="E422" s="65"/>
      <c r="F422" s="93"/>
      <c r="G422" s="94"/>
      <c r="H422" s="95"/>
      <c r="I422" s="66" t="str">
        <f t="shared" si="52"/>
        <v xml:space="preserve"> </v>
      </c>
      <c r="J422" s="67" t="str">
        <f t="shared" si="53"/>
        <v xml:space="preserve"> </v>
      </c>
      <c r="K422" s="68" t="str">
        <f t="shared" si="54"/>
        <v xml:space="preserve"> </v>
      </c>
      <c r="L422" s="67" t="str">
        <f t="shared" si="55"/>
        <v xml:space="preserve"> </v>
      </c>
      <c r="M422" s="61"/>
      <c r="N422" s="61"/>
      <c r="O422" s="70" t="s">
        <v>22</v>
      </c>
      <c r="P422" s="74" t="e">
        <f>SUM(I420:I444)/B445</f>
        <v>#DIV/0!</v>
      </c>
      <c r="Q422" s="72" t="s">
        <v>23</v>
      </c>
      <c r="R422" s="75" t="e">
        <f>SUM(K420:K444)/C445</f>
        <v>#DIV/0!</v>
      </c>
    </row>
    <row r="423" spans="1:18" ht="14.25" customHeight="1">
      <c r="A423" s="63"/>
      <c r="B423" s="63">
        <v>4</v>
      </c>
      <c r="C423" s="64"/>
      <c r="D423" s="65"/>
      <c r="E423" s="65"/>
      <c r="F423" s="93"/>
      <c r="G423" s="94"/>
      <c r="H423" s="95"/>
      <c r="I423" s="66" t="str">
        <f t="shared" si="52"/>
        <v xml:space="preserve"> </v>
      </c>
      <c r="J423" s="67" t="str">
        <f t="shared" si="53"/>
        <v xml:space="preserve"> </v>
      </c>
      <c r="K423" s="68" t="str">
        <f t="shared" si="54"/>
        <v xml:space="preserve"> </v>
      </c>
      <c r="L423" s="67" t="str">
        <f t="shared" si="55"/>
        <v xml:space="preserve"> </v>
      </c>
      <c r="M423" s="61"/>
      <c r="N423" s="61"/>
      <c r="O423" s="76" t="s">
        <v>24</v>
      </c>
      <c r="P423" s="77">
        <f>SUM(J420:J444)</f>
        <v>0</v>
      </c>
      <c r="Q423" s="78" t="s">
        <v>25</v>
      </c>
      <c r="R423" s="79">
        <f>SUM(L420:L444)</f>
        <v>0</v>
      </c>
    </row>
    <row r="424" spans="1:18" ht="14.25" customHeight="1">
      <c r="A424" s="63"/>
      <c r="B424" s="63">
        <v>5</v>
      </c>
      <c r="C424" s="64"/>
      <c r="D424" s="65"/>
      <c r="E424" s="65"/>
      <c r="F424" s="93"/>
      <c r="G424" s="94"/>
      <c r="H424" s="95"/>
      <c r="I424" s="66" t="str">
        <f t="shared" si="52"/>
        <v xml:space="preserve"> </v>
      </c>
      <c r="J424" s="67" t="str">
        <f t="shared" si="53"/>
        <v xml:space="preserve"> </v>
      </c>
      <c r="K424" s="68" t="str">
        <f t="shared" si="54"/>
        <v xml:space="preserve"> </v>
      </c>
      <c r="L424" s="67" t="str">
        <f t="shared" si="55"/>
        <v xml:space="preserve"> </v>
      </c>
      <c r="M424" s="61"/>
      <c r="N424" s="61"/>
      <c r="O424" s="128" t="s">
        <v>26</v>
      </c>
      <c r="P424" s="119"/>
      <c r="Q424" s="119"/>
      <c r="R424" s="109"/>
    </row>
    <row r="425" spans="1:18" ht="14.25" customHeight="1">
      <c r="A425" s="63"/>
      <c r="B425" s="63">
        <v>6</v>
      </c>
      <c r="C425" s="64"/>
      <c r="D425" s="65"/>
      <c r="E425" s="65"/>
      <c r="F425" s="93"/>
      <c r="G425" s="94"/>
      <c r="H425" s="95"/>
      <c r="I425" s="66" t="str">
        <f t="shared" si="52"/>
        <v xml:space="preserve"> </v>
      </c>
      <c r="J425" s="67" t="str">
        <f t="shared" si="53"/>
        <v xml:space="preserve"> </v>
      </c>
      <c r="K425" s="68" t="str">
        <f t="shared" si="54"/>
        <v xml:space="preserve"> </v>
      </c>
      <c r="L425" s="67" t="str">
        <f t="shared" si="55"/>
        <v xml:space="preserve"> </v>
      </c>
      <c r="M425" s="61"/>
      <c r="N425" s="61"/>
      <c r="O425" s="129" t="s">
        <v>27</v>
      </c>
      <c r="P425" s="131">
        <f>P423+R423-K446</f>
        <v>0</v>
      </c>
      <c r="Q425" s="129" t="s">
        <v>28</v>
      </c>
      <c r="R425" s="133" t="e">
        <f>K446/P425</f>
        <v>#DIV/0!</v>
      </c>
    </row>
    <row r="426" spans="1:18" ht="14.25" customHeight="1">
      <c r="A426" s="63"/>
      <c r="B426" s="63">
        <v>7</v>
      </c>
      <c r="C426" s="64"/>
      <c r="D426" s="65"/>
      <c r="E426" s="65"/>
      <c r="F426" s="93"/>
      <c r="G426" s="94"/>
      <c r="H426" s="95"/>
      <c r="I426" s="66" t="str">
        <f t="shared" si="52"/>
        <v xml:space="preserve"> </v>
      </c>
      <c r="J426" s="67" t="str">
        <f t="shared" si="53"/>
        <v xml:space="preserve"> </v>
      </c>
      <c r="K426" s="68" t="str">
        <f t="shared" si="54"/>
        <v xml:space="preserve"> </v>
      </c>
      <c r="L426" s="67" t="str">
        <f t="shared" si="55"/>
        <v xml:space="preserve"> </v>
      </c>
      <c r="M426" s="61"/>
      <c r="N426" s="61"/>
      <c r="O426" s="130"/>
      <c r="P426" s="132"/>
      <c r="Q426" s="130"/>
      <c r="R426" s="132"/>
    </row>
    <row r="427" spans="1:18" ht="14.25" customHeight="1">
      <c r="A427" s="63"/>
      <c r="B427" s="63">
        <v>8</v>
      </c>
      <c r="C427" s="64"/>
      <c r="D427" s="65"/>
      <c r="E427" s="65"/>
      <c r="F427" s="93"/>
      <c r="G427" s="94"/>
      <c r="H427" s="95"/>
      <c r="I427" s="66" t="str">
        <f t="shared" si="52"/>
        <v xml:space="preserve"> </v>
      </c>
      <c r="J427" s="67" t="str">
        <f t="shared" si="53"/>
        <v xml:space="preserve"> </v>
      </c>
      <c r="K427" s="68" t="str">
        <f t="shared" si="54"/>
        <v xml:space="preserve"> </v>
      </c>
      <c r="L427" s="67" t="str">
        <f t="shared" si="55"/>
        <v xml:space="preserve"> </v>
      </c>
      <c r="M427" s="61"/>
      <c r="N427" s="61"/>
      <c r="O427" s="124" t="s">
        <v>29</v>
      </c>
      <c r="P427" s="125"/>
      <c r="Q427" s="100"/>
      <c r="R427" s="126" t="e">
        <f>IF(R423&lt;0,((P421*P422/100)+(R421*R422/100)),P422)</f>
        <v>#DIV/0!</v>
      </c>
    </row>
    <row r="428" spans="1:18" ht="14.25" customHeight="1">
      <c r="A428" s="63"/>
      <c r="B428" s="63">
        <v>9</v>
      </c>
      <c r="C428" s="64"/>
      <c r="D428" s="65"/>
      <c r="E428" s="65"/>
      <c r="F428" s="93"/>
      <c r="G428" s="94"/>
      <c r="H428" s="95"/>
      <c r="I428" s="66" t="str">
        <f t="shared" si="52"/>
        <v xml:space="preserve"> </v>
      </c>
      <c r="J428" s="67" t="str">
        <f t="shared" si="53"/>
        <v xml:space="preserve"> </v>
      </c>
      <c r="K428" s="68" t="str">
        <f t="shared" si="54"/>
        <v xml:space="preserve"> </v>
      </c>
      <c r="L428" s="67" t="str">
        <f t="shared" si="55"/>
        <v xml:space="preserve"> </v>
      </c>
      <c r="M428" s="61"/>
      <c r="N428" s="61"/>
      <c r="O428" s="101"/>
      <c r="P428" s="104"/>
      <c r="Q428" s="102"/>
      <c r="R428" s="127"/>
    </row>
    <row r="429" spans="1:18" ht="14.25" customHeight="1">
      <c r="A429" s="63"/>
      <c r="B429" s="63">
        <v>10</v>
      </c>
      <c r="C429" s="64"/>
      <c r="D429" s="65"/>
      <c r="E429" s="65"/>
      <c r="F429" s="93"/>
      <c r="G429" s="94"/>
      <c r="H429" s="95"/>
      <c r="I429" s="66" t="str">
        <f t="shared" si="52"/>
        <v xml:space="preserve"> </v>
      </c>
      <c r="J429" s="67" t="str">
        <f t="shared" si="53"/>
        <v xml:space="preserve"> </v>
      </c>
      <c r="K429" s="68" t="str">
        <f t="shared" si="54"/>
        <v xml:space="preserve"> </v>
      </c>
      <c r="L429" s="67" t="str">
        <f t="shared" si="55"/>
        <v xml:space="preserve"> </v>
      </c>
      <c r="M429" s="61"/>
      <c r="N429" s="61"/>
    </row>
    <row r="430" spans="1:18" ht="14.25" customHeight="1">
      <c r="A430" s="63"/>
      <c r="B430" s="63">
        <v>11</v>
      </c>
      <c r="C430" s="64"/>
      <c r="D430" s="65"/>
      <c r="E430" s="65"/>
      <c r="F430" s="93"/>
      <c r="G430" s="94"/>
      <c r="H430" s="95"/>
      <c r="I430" s="66" t="str">
        <f t="shared" si="52"/>
        <v xml:space="preserve"> </v>
      </c>
      <c r="J430" s="67" t="str">
        <f t="shared" si="53"/>
        <v xml:space="preserve"> </v>
      </c>
      <c r="K430" s="68" t="str">
        <f t="shared" si="54"/>
        <v xml:space="preserve"> </v>
      </c>
      <c r="L430" s="67" t="str">
        <f t="shared" si="55"/>
        <v xml:space="preserve"> </v>
      </c>
      <c r="M430" s="61"/>
      <c r="N430" s="61"/>
      <c r="O430" s="134" t="s">
        <v>30</v>
      </c>
      <c r="P430" s="107"/>
      <c r="Q430" s="97"/>
    </row>
    <row r="431" spans="1:18" ht="14.25" customHeight="1">
      <c r="A431" s="63"/>
      <c r="B431" s="63">
        <v>12</v>
      </c>
      <c r="C431" s="64"/>
      <c r="D431" s="65"/>
      <c r="E431" s="65"/>
      <c r="F431" s="93"/>
      <c r="G431" s="94"/>
      <c r="H431" s="95"/>
      <c r="I431" s="66" t="str">
        <f t="shared" si="52"/>
        <v xml:space="preserve"> </v>
      </c>
      <c r="J431" s="67" t="str">
        <f t="shared" si="53"/>
        <v xml:space="preserve"> </v>
      </c>
      <c r="K431" s="68" t="str">
        <f t="shared" si="54"/>
        <v xml:space="preserve"> </v>
      </c>
      <c r="L431" s="67" t="str">
        <f t="shared" si="55"/>
        <v xml:space="preserve"> </v>
      </c>
      <c r="M431" s="61"/>
      <c r="N431" s="61"/>
      <c r="O431" s="80" t="s">
        <v>31</v>
      </c>
      <c r="P431" s="135">
        <f>MAX(I420:I444)</f>
        <v>0</v>
      </c>
      <c r="Q431" s="95"/>
    </row>
    <row r="432" spans="1:18" ht="14.25" customHeight="1">
      <c r="A432" s="63"/>
      <c r="B432" s="63">
        <v>13</v>
      </c>
      <c r="C432" s="64"/>
      <c r="D432" s="65"/>
      <c r="E432" s="65"/>
      <c r="F432" s="93"/>
      <c r="G432" s="94"/>
      <c r="H432" s="95"/>
      <c r="I432" s="66" t="str">
        <f t="shared" si="52"/>
        <v xml:space="preserve"> </v>
      </c>
      <c r="J432" s="67" t="str">
        <f t="shared" si="53"/>
        <v xml:space="preserve"> </v>
      </c>
      <c r="K432" s="68" t="str">
        <f t="shared" si="54"/>
        <v xml:space="preserve"> </v>
      </c>
      <c r="L432" s="67" t="str">
        <f t="shared" si="55"/>
        <v xml:space="preserve"> </v>
      </c>
      <c r="M432" s="61"/>
      <c r="N432" s="61"/>
      <c r="O432" s="81" t="s">
        <v>32</v>
      </c>
      <c r="P432" s="123">
        <f>MAX(J420:J444)</f>
        <v>0</v>
      </c>
      <c r="Q432" s="95"/>
    </row>
    <row r="433" spans="1:17" ht="14.25" customHeight="1">
      <c r="A433" s="63"/>
      <c r="B433" s="63">
        <v>14</v>
      </c>
      <c r="C433" s="64"/>
      <c r="D433" s="65"/>
      <c r="E433" s="65"/>
      <c r="F433" s="93"/>
      <c r="G433" s="94"/>
      <c r="H433" s="95"/>
      <c r="I433" s="66" t="str">
        <f t="shared" si="52"/>
        <v xml:space="preserve"> </v>
      </c>
      <c r="J433" s="67" t="str">
        <f t="shared" si="53"/>
        <v xml:space="preserve"> </v>
      </c>
      <c r="K433" s="68" t="str">
        <f t="shared" si="54"/>
        <v xml:space="preserve"> </v>
      </c>
      <c r="L433" s="67" t="str">
        <f t="shared" si="55"/>
        <v xml:space="preserve"> </v>
      </c>
      <c r="M433" s="61"/>
      <c r="N433" s="61"/>
      <c r="O433" s="82" t="s">
        <v>33</v>
      </c>
      <c r="P433" s="120">
        <f>MIN(K420:K444)</f>
        <v>0</v>
      </c>
      <c r="Q433" s="95"/>
    </row>
    <row r="434" spans="1:17" ht="14.25" customHeight="1">
      <c r="A434" s="63"/>
      <c r="B434" s="63">
        <v>15</v>
      </c>
      <c r="C434" s="64"/>
      <c r="D434" s="65"/>
      <c r="E434" s="65"/>
      <c r="F434" s="93"/>
      <c r="G434" s="94"/>
      <c r="H434" s="95"/>
      <c r="I434" s="66" t="str">
        <f t="shared" si="52"/>
        <v xml:space="preserve"> </v>
      </c>
      <c r="J434" s="67" t="str">
        <f t="shared" si="53"/>
        <v xml:space="preserve"> </v>
      </c>
      <c r="K434" s="68" t="str">
        <f t="shared" si="54"/>
        <v xml:space="preserve"> </v>
      </c>
      <c r="L434" s="67" t="str">
        <f t="shared" si="55"/>
        <v xml:space="preserve"> </v>
      </c>
      <c r="M434" s="61"/>
      <c r="N434" s="61"/>
      <c r="O434" s="83" t="s">
        <v>34</v>
      </c>
      <c r="P434" s="121">
        <f>MIN(L420:L444)</f>
        <v>0</v>
      </c>
      <c r="Q434" s="122"/>
    </row>
    <row r="435" spans="1:17" ht="14.25" customHeight="1">
      <c r="A435" s="63"/>
      <c r="B435" s="63">
        <v>16</v>
      </c>
      <c r="C435" s="64"/>
      <c r="D435" s="65"/>
      <c r="E435" s="65"/>
      <c r="F435" s="93"/>
      <c r="G435" s="94"/>
      <c r="H435" s="95"/>
      <c r="I435" s="66" t="str">
        <f t="shared" si="52"/>
        <v xml:space="preserve"> </v>
      </c>
      <c r="J435" s="67" t="str">
        <f t="shared" si="53"/>
        <v xml:space="preserve"> </v>
      </c>
      <c r="K435" s="68" t="str">
        <f t="shared" si="54"/>
        <v xml:space="preserve"> </v>
      </c>
      <c r="L435" s="67" t="str">
        <f t="shared" si="55"/>
        <v xml:space="preserve"> </v>
      </c>
      <c r="M435" s="61"/>
      <c r="N435" s="61"/>
      <c r="O435" s="61"/>
    </row>
    <row r="436" spans="1:17" ht="14.25" customHeight="1">
      <c r="A436" s="63"/>
      <c r="B436" s="63">
        <v>17</v>
      </c>
      <c r="C436" s="64"/>
      <c r="D436" s="65"/>
      <c r="E436" s="65"/>
      <c r="F436" s="93"/>
      <c r="G436" s="94"/>
      <c r="H436" s="95"/>
      <c r="I436" s="66" t="str">
        <f t="shared" si="52"/>
        <v xml:space="preserve"> </v>
      </c>
      <c r="J436" s="67" t="str">
        <f t="shared" si="53"/>
        <v xml:space="preserve"> </v>
      </c>
      <c r="K436" s="68" t="str">
        <f t="shared" si="54"/>
        <v xml:space="preserve"> </v>
      </c>
      <c r="L436" s="67" t="str">
        <f t="shared" si="55"/>
        <v xml:space="preserve"> </v>
      </c>
      <c r="M436" s="61"/>
      <c r="N436" s="61"/>
      <c r="O436" s="61"/>
    </row>
    <row r="437" spans="1:17" ht="14.25" customHeight="1">
      <c r="A437" s="63"/>
      <c r="B437" s="63">
        <v>18</v>
      </c>
      <c r="C437" s="64"/>
      <c r="D437" s="65"/>
      <c r="E437" s="65"/>
      <c r="F437" s="93"/>
      <c r="G437" s="94"/>
      <c r="H437" s="95"/>
      <c r="I437" s="66" t="str">
        <f t="shared" si="52"/>
        <v xml:space="preserve"> </v>
      </c>
      <c r="J437" s="67" t="str">
        <f t="shared" si="53"/>
        <v xml:space="preserve"> </v>
      </c>
      <c r="K437" s="68" t="str">
        <f t="shared" si="54"/>
        <v xml:space="preserve"> </v>
      </c>
      <c r="L437" s="67" t="str">
        <f t="shared" si="55"/>
        <v xml:space="preserve"> </v>
      </c>
      <c r="M437" s="61"/>
      <c r="N437" s="61"/>
      <c r="O437" s="61"/>
    </row>
    <row r="438" spans="1:17" ht="14.25" customHeight="1">
      <c r="A438" s="63"/>
      <c r="B438" s="63">
        <v>19</v>
      </c>
      <c r="C438" s="64"/>
      <c r="D438" s="65"/>
      <c r="E438" s="65"/>
      <c r="F438" s="93"/>
      <c r="G438" s="94"/>
      <c r="H438" s="95"/>
      <c r="I438" s="66" t="str">
        <f t="shared" si="52"/>
        <v xml:space="preserve"> </v>
      </c>
      <c r="J438" s="67" t="str">
        <f t="shared" si="53"/>
        <v xml:space="preserve"> </v>
      </c>
      <c r="K438" s="68" t="str">
        <f t="shared" si="54"/>
        <v xml:space="preserve"> </v>
      </c>
      <c r="L438" s="67" t="str">
        <f t="shared" si="55"/>
        <v xml:space="preserve"> </v>
      </c>
      <c r="M438" s="61"/>
      <c r="N438" s="61"/>
      <c r="O438" s="61"/>
    </row>
    <row r="439" spans="1:17" ht="14.25" customHeight="1">
      <c r="A439" s="63"/>
      <c r="B439" s="63">
        <v>20</v>
      </c>
      <c r="C439" s="64"/>
      <c r="D439" s="65"/>
      <c r="E439" s="65"/>
      <c r="F439" s="93"/>
      <c r="G439" s="94"/>
      <c r="H439" s="95"/>
      <c r="I439" s="66" t="str">
        <f t="shared" si="52"/>
        <v xml:space="preserve"> </v>
      </c>
      <c r="J439" s="67" t="str">
        <f t="shared" si="53"/>
        <v xml:space="preserve"> </v>
      </c>
      <c r="K439" s="68" t="str">
        <f t="shared" si="54"/>
        <v xml:space="preserve"> </v>
      </c>
      <c r="L439" s="67" t="str">
        <f t="shared" si="55"/>
        <v xml:space="preserve"> </v>
      </c>
      <c r="M439" s="61"/>
      <c r="N439" s="61"/>
      <c r="O439" s="61"/>
    </row>
    <row r="440" spans="1:17" ht="14.25" customHeight="1">
      <c r="A440" s="63"/>
      <c r="B440" s="63">
        <v>21</v>
      </c>
      <c r="C440" s="64"/>
      <c r="D440" s="65"/>
      <c r="E440" s="65"/>
      <c r="F440" s="93"/>
      <c r="G440" s="94"/>
      <c r="H440" s="95"/>
      <c r="I440" s="66" t="str">
        <f t="shared" si="52"/>
        <v xml:space="preserve"> </v>
      </c>
      <c r="J440" s="67" t="str">
        <f t="shared" si="53"/>
        <v xml:space="preserve"> </v>
      </c>
      <c r="K440" s="68" t="str">
        <f t="shared" si="54"/>
        <v xml:space="preserve"> </v>
      </c>
      <c r="L440" s="67" t="str">
        <f t="shared" si="55"/>
        <v xml:space="preserve"> </v>
      </c>
      <c r="M440" s="61"/>
      <c r="N440" s="61"/>
      <c r="O440" s="61"/>
    </row>
    <row r="441" spans="1:17" ht="14.25" customHeight="1">
      <c r="A441" s="63"/>
      <c r="B441" s="63">
        <v>22</v>
      </c>
      <c r="C441" s="64"/>
      <c r="D441" s="65"/>
      <c r="E441" s="65"/>
      <c r="F441" s="93"/>
      <c r="G441" s="94"/>
      <c r="H441" s="95"/>
      <c r="I441" s="66" t="str">
        <f t="shared" si="52"/>
        <v xml:space="preserve"> </v>
      </c>
      <c r="J441" s="67" t="str">
        <f t="shared" si="53"/>
        <v xml:space="preserve"> </v>
      </c>
      <c r="K441" s="68" t="str">
        <f t="shared" si="54"/>
        <v xml:space="preserve"> </v>
      </c>
      <c r="L441" s="67" t="str">
        <f t="shared" si="55"/>
        <v xml:space="preserve"> </v>
      </c>
      <c r="M441" s="61"/>
      <c r="N441" s="61"/>
      <c r="O441" s="61"/>
    </row>
    <row r="442" spans="1:17" ht="14.25" customHeight="1">
      <c r="A442" s="63"/>
      <c r="B442" s="63">
        <v>23</v>
      </c>
      <c r="C442" s="64"/>
      <c r="D442" s="65"/>
      <c r="E442" s="65"/>
      <c r="F442" s="93"/>
      <c r="G442" s="94"/>
      <c r="H442" s="95"/>
      <c r="I442" s="66" t="str">
        <f t="shared" si="52"/>
        <v xml:space="preserve"> </v>
      </c>
      <c r="J442" s="67" t="str">
        <f t="shared" si="53"/>
        <v xml:space="preserve"> </v>
      </c>
      <c r="K442" s="68" t="str">
        <f t="shared" si="54"/>
        <v xml:space="preserve"> </v>
      </c>
      <c r="L442" s="67" t="str">
        <f t="shared" si="55"/>
        <v xml:space="preserve"> </v>
      </c>
      <c r="M442" s="61"/>
      <c r="N442" s="61"/>
      <c r="O442" s="61"/>
    </row>
    <row r="443" spans="1:17" ht="14.25" customHeight="1">
      <c r="A443" s="63"/>
      <c r="B443" s="63">
        <v>24</v>
      </c>
      <c r="C443" s="64"/>
      <c r="D443" s="65"/>
      <c r="E443" s="65"/>
      <c r="F443" s="93"/>
      <c r="G443" s="94"/>
      <c r="H443" s="95"/>
      <c r="I443" s="66" t="str">
        <f t="shared" si="52"/>
        <v xml:space="preserve"> </v>
      </c>
      <c r="J443" s="67" t="str">
        <f t="shared" si="53"/>
        <v xml:space="preserve"> </v>
      </c>
      <c r="K443" s="68" t="str">
        <f t="shared" si="54"/>
        <v xml:space="preserve"> </v>
      </c>
      <c r="L443" s="67" t="str">
        <f t="shared" si="55"/>
        <v xml:space="preserve"> </v>
      </c>
      <c r="M443" s="61"/>
      <c r="N443" s="61"/>
      <c r="O443" s="61"/>
    </row>
    <row r="444" spans="1:17" ht="14.25" customHeight="1">
      <c r="A444" s="63"/>
      <c r="B444" s="63">
        <v>25</v>
      </c>
      <c r="C444" s="87"/>
      <c r="D444" s="65"/>
      <c r="E444" s="65"/>
      <c r="F444" s="93"/>
      <c r="G444" s="94"/>
      <c r="H444" s="95"/>
      <c r="I444" s="66" t="str">
        <f t="shared" si="52"/>
        <v xml:space="preserve"> </v>
      </c>
      <c r="J444" s="67" t="str">
        <f t="shared" si="53"/>
        <v xml:space="preserve"> </v>
      </c>
      <c r="K444" s="68" t="str">
        <f t="shared" si="54"/>
        <v xml:space="preserve"> </v>
      </c>
      <c r="L444" s="67" t="str">
        <f t="shared" si="55"/>
        <v xml:space="preserve"> </v>
      </c>
      <c r="M444" s="61"/>
      <c r="N444" s="61"/>
      <c r="O444" s="61"/>
    </row>
    <row r="445" spans="1:17" ht="14.25" customHeight="1">
      <c r="A445" s="99" t="s">
        <v>35</v>
      </c>
      <c r="B445" s="84">
        <f>COUNT(I420:I444)</f>
        <v>0</v>
      </c>
      <c r="C445" s="84">
        <f>COUNT(K420:K444)</f>
        <v>0</v>
      </c>
      <c r="D445" s="84">
        <f>SUM(E420:E444)*2</f>
        <v>0</v>
      </c>
      <c r="E445" s="84"/>
      <c r="F445" s="84"/>
      <c r="G445" s="84"/>
      <c r="H445" s="84"/>
      <c r="I445" s="96" t="s">
        <v>36</v>
      </c>
      <c r="J445" s="97"/>
      <c r="K445" s="98" t="s">
        <v>37</v>
      </c>
      <c r="L445" s="97"/>
      <c r="M445" s="61"/>
      <c r="N445" s="61"/>
      <c r="O445" s="61"/>
    </row>
    <row r="446" spans="1:17" ht="14.25" customHeight="1">
      <c r="A446" s="105"/>
      <c r="B446" s="85"/>
      <c r="C446" s="85"/>
      <c r="D446" s="85"/>
      <c r="E446" s="85"/>
      <c r="F446" s="85"/>
      <c r="G446" s="85"/>
      <c r="H446" s="85"/>
      <c r="I446" s="99">
        <f>I414</f>
        <v>15</v>
      </c>
      <c r="J446" s="100"/>
      <c r="K446" s="103">
        <f>I446*D445*1.07</f>
        <v>0</v>
      </c>
      <c r="L446" s="100"/>
    </row>
    <row r="447" spans="1:17" ht="15.75" customHeight="1">
      <c r="A447" s="101"/>
      <c r="B447" s="86"/>
      <c r="C447" s="86"/>
      <c r="D447" s="86"/>
      <c r="E447" s="86"/>
      <c r="F447" s="86"/>
      <c r="G447" s="86"/>
      <c r="H447" s="86"/>
      <c r="I447" s="101"/>
      <c r="J447" s="102"/>
      <c r="K447" s="104"/>
      <c r="L447" s="102"/>
    </row>
    <row r="448" spans="1:17" ht="14.25" customHeight="1"/>
    <row r="449" spans="1:18" ht="14.25" customHeight="1"/>
    <row r="450" spans="1:18" ht="14.25" customHeight="1">
      <c r="A450" s="106" t="s">
        <v>2</v>
      </c>
      <c r="B450" s="107"/>
      <c r="C450" s="107"/>
      <c r="D450" s="107"/>
      <c r="E450" s="97"/>
      <c r="F450" s="106" t="s">
        <v>3</v>
      </c>
      <c r="G450" s="107"/>
      <c r="H450" s="97"/>
      <c r="I450" s="108" t="s">
        <v>4</v>
      </c>
      <c r="J450" s="109"/>
      <c r="K450" s="110" t="s">
        <v>5</v>
      </c>
      <c r="L450" s="109"/>
      <c r="O450" s="111" t="s">
        <v>7</v>
      </c>
      <c r="P450" s="107"/>
      <c r="Q450" s="107"/>
      <c r="R450" s="97"/>
    </row>
    <row r="451" spans="1:18" ht="14.25" customHeight="1">
      <c r="A451" s="55" t="s">
        <v>8</v>
      </c>
      <c r="B451" s="55" t="s">
        <v>9</v>
      </c>
      <c r="C451" s="55" t="s">
        <v>10</v>
      </c>
      <c r="D451" s="56" t="s">
        <v>11</v>
      </c>
      <c r="E451" s="57" t="s">
        <v>12</v>
      </c>
      <c r="F451" s="117" t="s">
        <v>11</v>
      </c>
      <c r="G451" s="104"/>
      <c r="H451" s="102"/>
      <c r="I451" s="58" t="s">
        <v>13</v>
      </c>
      <c r="J451" s="59" t="s">
        <v>14</v>
      </c>
      <c r="K451" s="60" t="s">
        <v>13</v>
      </c>
      <c r="L451" s="59" t="s">
        <v>14</v>
      </c>
      <c r="M451" s="61"/>
      <c r="N451" s="61"/>
      <c r="O451" s="112" t="s">
        <v>15</v>
      </c>
      <c r="P451" s="113"/>
      <c r="Q451" s="113"/>
      <c r="R451" s="114"/>
    </row>
    <row r="452" spans="1:18" ht="14.25" customHeight="1">
      <c r="A452" s="62">
        <v>42370</v>
      </c>
      <c r="B452" s="63">
        <v>1</v>
      </c>
      <c r="C452" s="64"/>
      <c r="D452" s="65"/>
      <c r="E452" s="65"/>
      <c r="F452" s="118"/>
      <c r="G452" s="119"/>
      <c r="H452" s="109"/>
      <c r="I452" s="66" t="str">
        <f t="shared" ref="I452:I476" si="56">IF(C452="L",IF(F452-D452&gt;0,F452-D452," "),IF(D452-F452&gt;0,D452-F452," "))</f>
        <v xml:space="preserve"> </v>
      </c>
      <c r="J452" s="67" t="str">
        <f t="shared" ref="J452:J476" si="57">IF(C452="L",IF(F452-D452&gt;0,(F452-D452)*200*E452," "),IF(D452-F452&gt;0,(D452-F452)*200*E452," "))</f>
        <v xml:space="preserve"> </v>
      </c>
      <c r="K452" s="68" t="str">
        <f t="shared" ref="K452:K476" si="58">IF(C452="L",IF(F452-D452&lt;0,F452-D452," "),IF(D452-F452&lt;0,D452-F452," "))</f>
        <v xml:space="preserve"> </v>
      </c>
      <c r="L452" s="67" t="str">
        <f t="shared" ref="L452:L476" si="59">IF(C452="L",IF(F452-D452&lt;0,(F452-D452)*200*E452," "),IF(D452-F452&lt;0,(D452-F452)*200*E452," "))</f>
        <v xml:space="preserve"> </v>
      </c>
      <c r="M452" s="61"/>
      <c r="N452" s="61"/>
      <c r="O452" s="22" t="s">
        <v>19</v>
      </c>
      <c r="P452" s="23">
        <f>B477+C477</f>
        <v>0</v>
      </c>
      <c r="Q452" s="115"/>
      <c r="R452" s="116"/>
    </row>
    <row r="453" spans="1:18" ht="14.25" customHeight="1">
      <c r="A453" s="63"/>
      <c r="B453" s="63">
        <v>2</v>
      </c>
      <c r="C453" s="64"/>
      <c r="D453" s="65"/>
      <c r="E453" s="65"/>
      <c r="F453" s="93"/>
      <c r="G453" s="94"/>
      <c r="H453" s="95"/>
      <c r="I453" s="66" t="str">
        <f t="shared" si="56"/>
        <v xml:space="preserve"> </v>
      </c>
      <c r="J453" s="67" t="str">
        <f t="shared" si="57"/>
        <v xml:space="preserve"> </v>
      </c>
      <c r="K453" s="68" t="str">
        <f t="shared" si="58"/>
        <v xml:space="preserve"> </v>
      </c>
      <c r="L453" s="67" t="str">
        <f t="shared" si="59"/>
        <v xml:space="preserve"> </v>
      </c>
      <c r="M453" s="61"/>
      <c r="N453" s="61"/>
      <c r="O453" s="70" t="s">
        <v>20</v>
      </c>
      <c r="P453" s="71" t="e">
        <f>B477/P452*100</f>
        <v>#DIV/0!</v>
      </c>
      <c r="Q453" s="72" t="s">
        <v>21</v>
      </c>
      <c r="R453" s="73" t="e">
        <f>C477/P452*100</f>
        <v>#DIV/0!</v>
      </c>
    </row>
    <row r="454" spans="1:18" ht="14.25" customHeight="1">
      <c r="A454" s="63"/>
      <c r="B454" s="63">
        <v>3</v>
      </c>
      <c r="C454" s="64"/>
      <c r="D454" s="65"/>
      <c r="E454" s="65"/>
      <c r="F454" s="93"/>
      <c r="G454" s="94"/>
      <c r="H454" s="95"/>
      <c r="I454" s="66" t="str">
        <f t="shared" si="56"/>
        <v xml:space="preserve"> </v>
      </c>
      <c r="J454" s="67" t="str">
        <f t="shared" si="57"/>
        <v xml:space="preserve"> </v>
      </c>
      <c r="K454" s="68" t="str">
        <f t="shared" si="58"/>
        <v xml:space="preserve"> </v>
      </c>
      <c r="L454" s="67" t="str">
        <f t="shared" si="59"/>
        <v xml:space="preserve"> </v>
      </c>
      <c r="M454" s="61"/>
      <c r="N454" s="61"/>
      <c r="O454" s="70" t="s">
        <v>22</v>
      </c>
      <c r="P454" s="74" t="e">
        <f>SUM(I452:I476)/B477</f>
        <v>#DIV/0!</v>
      </c>
      <c r="Q454" s="72" t="s">
        <v>23</v>
      </c>
      <c r="R454" s="75" t="e">
        <f>SUM(K452:K476)/C477</f>
        <v>#DIV/0!</v>
      </c>
    </row>
    <row r="455" spans="1:18" ht="14.25" customHeight="1">
      <c r="A455" s="63"/>
      <c r="B455" s="63">
        <v>4</v>
      </c>
      <c r="C455" s="64"/>
      <c r="D455" s="65"/>
      <c r="E455" s="65"/>
      <c r="F455" s="93"/>
      <c r="G455" s="94"/>
      <c r="H455" s="95"/>
      <c r="I455" s="66" t="str">
        <f t="shared" si="56"/>
        <v xml:space="preserve"> </v>
      </c>
      <c r="J455" s="67" t="str">
        <f t="shared" si="57"/>
        <v xml:space="preserve"> </v>
      </c>
      <c r="K455" s="68" t="str">
        <f t="shared" si="58"/>
        <v xml:space="preserve"> </v>
      </c>
      <c r="L455" s="67" t="str">
        <f t="shared" si="59"/>
        <v xml:space="preserve"> </v>
      </c>
      <c r="M455" s="61"/>
      <c r="N455" s="61"/>
      <c r="O455" s="76" t="s">
        <v>24</v>
      </c>
      <c r="P455" s="77">
        <f>SUM(J452:J476)</f>
        <v>0</v>
      </c>
      <c r="Q455" s="78" t="s">
        <v>25</v>
      </c>
      <c r="R455" s="79">
        <f>SUM(L452:L476)</f>
        <v>0</v>
      </c>
    </row>
    <row r="456" spans="1:18" ht="14.25" customHeight="1">
      <c r="A456" s="63"/>
      <c r="B456" s="63">
        <v>5</v>
      </c>
      <c r="C456" s="64"/>
      <c r="D456" s="65"/>
      <c r="E456" s="65"/>
      <c r="F456" s="93"/>
      <c r="G456" s="94"/>
      <c r="H456" s="95"/>
      <c r="I456" s="66" t="str">
        <f t="shared" si="56"/>
        <v xml:space="preserve"> </v>
      </c>
      <c r="J456" s="67" t="str">
        <f t="shared" si="57"/>
        <v xml:space="preserve"> </v>
      </c>
      <c r="K456" s="68" t="str">
        <f t="shared" si="58"/>
        <v xml:space="preserve"> </v>
      </c>
      <c r="L456" s="67" t="str">
        <f t="shared" si="59"/>
        <v xml:space="preserve"> </v>
      </c>
      <c r="M456" s="61"/>
      <c r="N456" s="61"/>
      <c r="O456" s="128" t="s">
        <v>26</v>
      </c>
      <c r="P456" s="119"/>
      <c r="Q456" s="119"/>
      <c r="R456" s="109"/>
    </row>
    <row r="457" spans="1:18" ht="14.25" customHeight="1">
      <c r="A457" s="63"/>
      <c r="B457" s="63">
        <v>6</v>
      </c>
      <c r="C457" s="64"/>
      <c r="D457" s="65"/>
      <c r="E457" s="65"/>
      <c r="F457" s="93"/>
      <c r="G457" s="94"/>
      <c r="H457" s="95"/>
      <c r="I457" s="66" t="str">
        <f t="shared" si="56"/>
        <v xml:space="preserve"> </v>
      </c>
      <c r="J457" s="67" t="str">
        <f t="shared" si="57"/>
        <v xml:space="preserve"> </v>
      </c>
      <c r="K457" s="68" t="str">
        <f t="shared" si="58"/>
        <v xml:space="preserve"> </v>
      </c>
      <c r="L457" s="67" t="str">
        <f t="shared" si="59"/>
        <v xml:space="preserve"> </v>
      </c>
      <c r="M457" s="61"/>
      <c r="N457" s="61"/>
      <c r="O457" s="129" t="s">
        <v>27</v>
      </c>
      <c r="P457" s="131">
        <f>P455+R455-K478</f>
        <v>0</v>
      </c>
      <c r="Q457" s="129" t="s">
        <v>28</v>
      </c>
      <c r="R457" s="133" t="e">
        <f>K478/P457</f>
        <v>#DIV/0!</v>
      </c>
    </row>
    <row r="458" spans="1:18" ht="14.25" customHeight="1">
      <c r="A458" s="63"/>
      <c r="B458" s="63">
        <v>7</v>
      </c>
      <c r="C458" s="64"/>
      <c r="D458" s="65"/>
      <c r="E458" s="65"/>
      <c r="F458" s="93"/>
      <c r="G458" s="94"/>
      <c r="H458" s="95"/>
      <c r="I458" s="66" t="str">
        <f t="shared" si="56"/>
        <v xml:space="preserve"> </v>
      </c>
      <c r="J458" s="67" t="str">
        <f t="shared" si="57"/>
        <v xml:space="preserve"> </v>
      </c>
      <c r="K458" s="68" t="str">
        <f t="shared" si="58"/>
        <v xml:space="preserve"> </v>
      </c>
      <c r="L458" s="67" t="str">
        <f t="shared" si="59"/>
        <v xml:space="preserve"> </v>
      </c>
      <c r="M458" s="61"/>
      <c r="N458" s="61"/>
      <c r="O458" s="130"/>
      <c r="P458" s="132"/>
      <c r="Q458" s="130"/>
      <c r="R458" s="132"/>
    </row>
    <row r="459" spans="1:18" ht="14.25" customHeight="1">
      <c r="A459" s="63"/>
      <c r="B459" s="63">
        <v>8</v>
      </c>
      <c r="C459" s="64"/>
      <c r="D459" s="65"/>
      <c r="E459" s="65"/>
      <c r="F459" s="93"/>
      <c r="G459" s="94"/>
      <c r="H459" s="95"/>
      <c r="I459" s="66" t="str">
        <f t="shared" si="56"/>
        <v xml:space="preserve"> </v>
      </c>
      <c r="J459" s="67" t="str">
        <f t="shared" si="57"/>
        <v xml:space="preserve"> </v>
      </c>
      <c r="K459" s="68" t="str">
        <f t="shared" si="58"/>
        <v xml:space="preserve"> </v>
      </c>
      <c r="L459" s="67" t="str">
        <f t="shared" si="59"/>
        <v xml:space="preserve"> </v>
      </c>
      <c r="M459" s="61"/>
      <c r="N459" s="61"/>
      <c r="O459" s="124" t="s">
        <v>29</v>
      </c>
      <c r="P459" s="125"/>
      <c r="Q459" s="100"/>
      <c r="R459" s="126" t="e">
        <f>IF(R455&lt;0,((P453*P454/100)+(R453*R454/100)),P454)</f>
        <v>#DIV/0!</v>
      </c>
    </row>
    <row r="460" spans="1:18" ht="14.25" customHeight="1">
      <c r="A460" s="63"/>
      <c r="B460" s="63">
        <v>9</v>
      </c>
      <c r="C460" s="64"/>
      <c r="D460" s="65"/>
      <c r="E460" s="65"/>
      <c r="F460" s="93"/>
      <c r="G460" s="94"/>
      <c r="H460" s="95"/>
      <c r="I460" s="66" t="str">
        <f t="shared" si="56"/>
        <v xml:space="preserve"> </v>
      </c>
      <c r="J460" s="67" t="str">
        <f t="shared" si="57"/>
        <v xml:space="preserve"> </v>
      </c>
      <c r="K460" s="68" t="str">
        <f t="shared" si="58"/>
        <v xml:space="preserve"> </v>
      </c>
      <c r="L460" s="67" t="str">
        <f t="shared" si="59"/>
        <v xml:space="preserve"> </v>
      </c>
      <c r="M460" s="61"/>
      <c r="N460" s="61"/>
      <c r="O460" s="101"/>
      <c r="P460" s="104"/>
      <c r="Q460" s="102"/>
      <c r="R460" s="127"/>
    </row>
    <row r="461" spans="1:18" ht="14.25" customHeight="1">
      <c r="A461" s="63"/>
      <c r="B461" s="63">
        <v>10</v>
      </c>
      <c r="C461" s="64"/>
      <c r="D461" s="65"/>
      <c r="E461" s="65"/>
      <c r="F461" s="93"/>
      <c r="G461" s="94"/>
      <c r="H461" s="95"/>
      <c r="I461" s="66" t="str">
        <f t="shared" si="56"/>
        <v xml:space="preserve"> </v>
      </c>
      <c r="J461" s="67" t="str">
        <f t="shared" si="57"/>
        <v xml:space="preserve"> </v>
      </c>
      <c r="K461" s="68" t="str">
        <f t="shared" si="58"/>
        <v xml:space="preserve"> </v>
      </c>
      <c r="L461" s="67" t="str">
        <f t="shared" si="59"/>
        <v xml:space="preserve"> </v>
      </c>
      <c r="M461" s="61"/>
      <c r="N461" s="61"/>
    </row>
    <row r="462" spans="1:18" ht="14.25" customHeight="1">
      <c r="A462" s="63"/>
      <c r="B462" s="63">
        <v>11</v>
      </c>
      <c r="C462" s="64"/>
      <c r="D462" s="65"/>
      <c r="E462" s="65"/>
      <c r="F462" s="93"/>
      <c r="G462" s="94"/>
      <c r="H462" s="95"/>
      <c r="I462" s="66" t="str">
        <f t="shared" si="56"/>
        <v xml:space="preserve"> </v>
      </c>
      <c r="J462" s="67" t="str">
        <f t="shared" si="57"/>
        <v xml:space="preserve"> </v>
      </c>
      <c r="K462" s="68" t="str">
        <f t="shared" si="58"/>
        <v xml:space="preserve"> </v>
      </c>
      <c r="L462" s="67" t="str">
        <f t="shared" si="59"/>
        <v xml:space="preserve"> </v>
      </c>
      <c r="M462" s="61"/>
      <c r="N462" s="61"/>
      <c r="O462" s="134" t="s">
        <v>30</v>
      </c>
      <c r="P462" s="107"/>
      <c r="Q462" s="97"/>
    </row>
    <row r="463" spans="1:18" ht="14.25" customHeight="1">
      <c r="A463" s="63"/>
      <c r="B463" s="63">
        <v>12</v>
      </c>
      <c r="C463" s="64"/>
      <c r="D463" s="65"/>
      <c r="E463" s="65"/>
      <c r="F463" s="93"/>
      <c r="G463" s="94"/>
      <c r="H463" s="95"/>
      <c r="I463" s="66" t="str">
        <f t="shared" si="56"/>
        <v xml:space="preserve"> </v>
      </c>
      <c r="J463" s="67" t="str">
        <f t="shared" si="57"/>
        <v xml:space="preserve"> </v>
      </c>
      <c r="K463" s="68" t="str">
        <f t="shared" si="58"/>
        <v xml:space="preserve"> </v>
      </c>
      <c r="L463" s="67" t="str">
        <f t="shared" si="59"/>
        <v xml:space="preserve"> </v>
      </c>
      <c r="M463" s="61"/>
      <c r="N463" s="61"/>
      <c r="O463" s="80" t="s">
        <v>31</v>
      </c>
      <c r="P463" s="135">
        <f>MAX(I452:I476)</f>
        <v>0</v>
      </c>
      <c r="Q463" s="95"/>
    </row>
    <row r="464" spans="1:18" ht="14.25" customHeight="1">
      <c r="A464" s="63"/>
      <c r="B464" s="63">
        <v>13</v>
      </c>
      <c r="C464" s="64"/>
      <c r="D464" s="65"/>
      <c r="E464" s="65"/>
      <c r="F464" s="93"/>
      <c r="G464" s="94"/>
      <c r="H464" s="95"/>
      <c r="I464" s="66" t="str">
        <f t="shared" si="56"/>
        <v xml:space="preserve"> </v>
      </c>
      <c r="J464" s="67" t="str">
        <f t="shared" si="57"/>
        <v xml:space="preserve"> </v>
      </c>
      <c r="K464" s="68" t="str">
        <f t="shared" si="58"/>
        <v xml:space="preserve"> </v>
      </c>
      <c r="L464" s="67" t="str">
        <f t="shared" si="59"/>
        <v xml:space="preserve"> </v>
      </c>
      <c r="M464" s="61"/>
      <c r="N464" s="61"/>
      <c r="O464" s="81" t="s">
        <v>32</v>
      </c>
      <c r="P464" s="123">
        <f>MAX(J452:J476)</f>
        <v>0</v>
      </c>
      <c r="Q464" s="95"/>
    </row>
    <row r="465" spans="1:17" ht="14.25" customHeight="1">
      <c r="A465" s="63"/>
      <c r="B465" s="63">
        <v>14</v>
      </c>
      <c r="C465" s="64"/>
      <c r="D465" s="65"/>
      <c r="E465" s="65"/>
      <c r="F465" s="93"/>
      <c r="G465" s="94"/>
      <c r="H465" s="95"/>
      <c r="I465" s="66" t="str">
        <f t="shared" si="56"/>
        <v xml:space="preserve"> </v>
      </c>
      <c r="J465" s="67" t="str">
        <f t="shared" si="57"/>
        <v xml:space="preserve"> </v>
      </c>
      <c r="K465" s="68" t="str">
        <f t="shared" si="58"/>
        <v xml:space="preserve"> </v>
      </c>
      <c r="L465" s="67" t="str">
        <f t="shared" si="59"/>
        <v xml:space="preserve"> </v>
      </c>
      <c r="M465" s="61"/>
      <c r="N465" s="61"/>
      <c r="O465" s="82" t="s">
        <v>33</v>
      </c>
      <c r="P465" s="120">
        <f>MIN(K452:K476)</f>
        <v>0</v>
      </c>
      <c r="Q465" s="95"/>
    </row>
    <row r="466" spans="1:17" ht="14.25" customHeight="1">
      <c r="A466" s="63"/>
      <c r="B466" s="63">
        <v>15</v>
      </c>
      <c r="C466" s="64"/>
      <c r="D466" s="65"/>
      <c r="E466" s="65"/>
      <c r="F466" s="93"/>
      <c r="G466" s="94"/>
      <c r="H466" s="95"/>
      <c r="I466" s="66" t="str">
        <f t="shared" si="56"/>
        <v xml:space="preserve"> </v>
      </c>
      <c r="J466" s="67" t="str">
        <f t="shared" si="57"/>
        <v xml:space="preserve"> </v>
      </c>
      <c r="K466" s="68" t="str">
        <f t="shared" si="58"/>
        <v xml:space="preserve"> </v>
      </c>
      <c r="L466" s="67" t="str">
        <f t="shared" si="59"/>
        <v xml:space="preserve"> </v>
      </c>
      <c r="M466" s="61"/>
      <c r="N466" s="61"/>
      <c r="O466" s="83" t="s">
        <v>34</v>
      </c>
      <c r="P466" s="121">
        <f>MIN(L452:L476)</f>
        <v>0</v>
      </c>
      <c r="Q466" s="122"/>
    </row>
    <row r="467" spans="1:17" ht="14.25" customHeight="1">
      <c r="A467" s="63"/>
      <c r="B467" s="63">
        <v>16</v>
      </c>
      <c r="C467" s="64"/>
      <c r="D467" s="65"/>
      <c r="E467" s="65"/>
      <c r="F467" s="93"/>
      <c r="G467" s="94"/>
      <c r="H467" s="95"/>
      <c r="I467" s="66" t="str">
        <f t="shared" si="56"/>
        <v xml:space="preserve"> </v>
      </c>
      <c r="J467" s="67" t="str">
        <f t="shared" si="57"/>
        <v xml:space="preserve"> </v>
      </c>
      <c r="K467" s="68" t="str">
        <f t="shared" si="58"/>
        <v xml:space="preserve"> </v>
      </c>
      <c r="L467" s="67" t="str">
        <f t="shared" si="59"/>
        <v xml:space="preserve"> </v>
      </c>
      <c r="M467" s="61"/>
      <c r="N467" s="61"/>
      <c r="O467" s="61"/>
    </row>
    <row r="468" spans="1:17" ht="14.25" customHeight="1">
      <c r="A468" s="63"/>
      <c r="B468" s="63">
        <v>17</v>
      </c>
      <c r="C468" s="64"/>
      <c r="D468" s="65"/>
      <c r="E468" s="65"/>
      <c r="F468" s="93"/>
      <c r="G468" s="94"/>
      <c r="H468" s="95"/>
      <c r="I468" s="66" t="str">
        <f t="shared" si="56"/>
        <v xml:space="preserve"> </v>
      </c>
      <c r="J468" s="67" t="str">
        <f t="shared" si="57"/>
        <v xml:space="preserve"> </v>
      </c>
      <c r="K468" s="68" t="str">
        <f t="shared" si="58"/>
        <v xml:space="preserve"> </v>
      </c>
      <c r="L468" s="67" t="str">
        <f t="shared" si="59"/>
        <v xml:space="preserve"> </v>
      </c>
      <c r="M468" s="61"/>
      <c r="N468" s="61"/>
      <c r="O468" s="61"/>
    </row>
    <row r="469" spans="1:17" ht="14.25" customHeight="1">
      <c r="A469" s="63"/>
      <c r="B469" s="63">
        <v>18</v>
      </c>
      <c r="C469" s="64"/>
      <c r="D469" s="65"/>
      <c r="E469" s="65"/>
      <c r="F469" s="93"/>
      <c r="G469" s="94"/>
      <c r="H469" s="95"/>
      <c r="I469" s="66" t="str">
        <f t="shared" si="56"/>
        <v xml:space="preserve"> </v>
      </c>
      <c r="J469" s="67" t="str">
        <f t="shared" si="57"/>
        <v xml:space="preserve"> </v>
      </c>
      <c r="K469" s="68" t="str">
        <f t="shared" si="58"/>
        <v xml:space="preserve"> </v>
      </c>
      <c r="L469" s="67" t="str">
        <f t="shared" si="59"/>
        <v xml:space="preserve"> </v>
      </c>
      <c r="M469" s="61"/>
      <c r="N469" s="61"/>
      <c r="O469" s="61"/>
    </row>
    <row r="470" spans="1:17" ht="14.25" customHeight="1">
      <c r="A470" s="63"/>
      <c r="B470" s="63">
        <v>19</v>
      </c>
      <c r="C470" s="64"/>
      <c r="D470" s="65"/>
      <c r="E470" s="65"/>
      <c r="F470" s="93"/>
      <c r="G470" s="94"/>
      <c r="H470" s="95"/>
      <c r="I470" s="66" t="str">
        <f t="shared" si="56"/>
        <v xml:space="preserve"> </v>
      </c>
      <c r="J470" s="67" t="str">
        <f t="shared" si="57"/>
        <v xml:space="preserve"> </v>
      </c>
      <c r="K470" s="68" t="str">
        <f t="shared" si="58"/>
        <v xml:space="preserve"> </v>
      </c>
      <c r="L470" s="67" t="str">
        <f t="shared" si="59"/>
        <v xml:space="preserve"> </v>
      </c>
      <c r="M470" s="61"/>
      <c r="N470" s="61"/>
      <c r="O470" s="61"/>
    </row>
    <row r="471" spans="1:17" ht="14.25" customHeight="1">
      <c r="A471" s="63"/>
      <c r="B471" s="63">
        <v>20</v>
      </c>
      <c r="C471" s="64"/>
      <c r="D471" s="65"/>
      <c r="E471" s="65"/>
      <c r="F471" s="93"/>
      <c r="G471" s="94"/>
      <c r="H471" s="95"/>
      <c r="I471" s="66" t="str">
        <f t="shared" si="56"/>
        <v xml:space="preserve"> </v>
      </c>
      <c r="J471" s="67" t="str">
        <f t="shared" si="57"/>
        <v xml:space="preserve"> </v>
      </c>
      <c r="K471" s="68" t="str">
        <f t="shared" si="58"/>
        <v xml:space="preserve"> </v>
      </c>
      <c r="L471" s="67" t="str">
        <f t="shared" si="59"/>
        <v xml:space="preserve"> </v>
      </c>
      <c r="M471" s="61"/>
      <c r="N471" s="61"/>
      <c r="O471" s="61"/>
    </row>
    <row r="472" spans="1:17" ht="14.25" customHeight="1">
      <c r="A472" s="63"/>
      <c r="B472" s="63">
        <v>21</v>
      </c>
      <c r="C472" s="64"/>
      <c r="D472" s="65"/>
      <c r="E472" s="65"/>
      <c r="F472" s="93"/>
      <c r="G472" s="94"/>
      <c r="H472" s="95"/>
      <c r="I472" s="66" t="str">
        <f t="shared" si="56"/>
        <v xml:space="preserve"> </v>
      </c>
      <c r="J472" s="67" t="str">
        <f t="shared" si="57"/>
        <v xml:space="preserve"> </v>
      </c>
      <c r="K472" s="68" t="str">
        <f t="shared" si="58"/>
        <v xml:space="preserve"> </v>
      </c>
      <c r="L472" s="67" t="str">
        <f t="shared" si="59"/>
        <v xml:space="preserve"> </v>
      </c>
      <c r="M472" s="61"/>
      <c r="N472" s="61"/>
      <c r="O472" s="61"/>
    </row>
    <row r="473" spans="1:17" ht="14.25" customHeight="1">
      <c r="A473" s="63"/>
      <c r="B473" s="63">
        <v>22</v>
      </c>
      <c r="C473" s="64"/>
      <c r="D473" s="65"/>
      <c r="E473" s="65"/>
      <c r="F473" s="93"/>
      <c r="G473" s="94"/>
      <c r="H473" s="95"/>
      <c r="I473" s="66" t="str">
        <f t="shared" si="56"/>
        <v xml:space="preserve"> </v>
      </c>
      <c r="J473" s="67" t="str">
        <f t="shared" si="57"/>
        <v xml:space="preserve"> </v>
      </c>
      <c r="K473" s="68" t="str">
        <f t="shared" si="58"/>
        <v xml:space="preserve"> </v>
      </c>
      <c r="L473" s="67" t="str">
        <f t="shared" si="59"/>
        <v xml:space="preserve"> </v>
      </c>
      <c r="M473" s="61"/>
      <c r="N473" s="61"/>
      <c r="O473" s="61"/>
    </row>
    <row r="474" spans="1:17" ht="14.25" customHeight="1">
      <c r="A474" s="63"/>
      <c r="B474" s="63">
        <v>23</v>
      </c>
      <c r="C474" s="64"/>
      <c r="D474" s="65"/>
      <c r="E474" s="65"/>
      <c r="F474" s="93"/>
      <c r="G474" s="94"/>
      <c r="H474" s="95"/>
      <c r="I474" s="66" t="str">
        <f t="shared" si="56"/>
        <v xml:space="preserve"> </v>
      </c>
      <c r="J474" s="67" t="str">
        <f t="shared" si="57"/>
        <v xml:space="preserve"> </v>
      </c>
      <c r="K474" s="68" t="str">
        <f t="shared" si="58"/>
        <v xml:space="preserve"> </v>
      </c>
      <c r="L474" s="67" t="str">
        <f t="shared" si="59"/>
        <v xml:space="preserve"> </v>
      </c>
      <c r="M474" s="61"/>
      <c r="N474" s="61"/>
      <c r="O474" s="61"/>
    </row>
    <row r="475" spans="1:17" ht="14.25" customHeight="1">
      <c r="A475" s="63"/>
      <c r="B475" s="63">
        <v>24</v>
      </c>
      <c r="C475" s="64"/>
      <c r="D475" s="65"/>
      <c r="E475" s="65"/>
      <c r="F475" s="93"/>
      <c r="G475" s="94"/>
      <c r="H475" s="95"/>
      <c r="I475" s="66" t="str">
        <f t="shared" si="56"/>
        <v xml:space="preserve"> </v>
      </c>
      <c r="J475" s="67" t="str">
        <f t="shared" si="57"/>
        <v xml:space="preserve"> </v>
      </c>
      <c r="K475" s="68" t="str">
        <f t="shared" si="58"/>
        <v xml:space="preserve"> </v>
      </c>
      <c r="L475" s="67" t="str">
        <f t="shared" si="59"/>
        <v xml:space="preserve"> </v>
      </c>
      <c r="M475" s="61"/>
      <c r="N475" s="61"/>
      <c r="O475" s="61"/>
    </row>
    <row r="476" spans="1:17" ht="14.25" customHeight="1">
      <c r="A476" s="63"/>
      <c r="B476" s="63">
        <v>25</v>
      </c>
      <c r="C476" s="87"/>
      <c r="D476" s="65"/>
      <c r="E476" s="65"/>
      <c r="F476" s="93"/>
      <c r="G476" s="94"/>
      <c r="H476" s="95"/>
      <c r="I476" s="66" t="str">
        <f t="shared" si="56"/>
        <v xml:space="preserve"> </v>
      </c>
      <c r="J476" s="67" t="str">
        <f t="shared" si="57"/>
        <v xml:space="preserve"> </v>
      </c>
      <c r="K476" s="68" t="str">
        <f t="shared" si="58"/>
        <v xml:space="preserve"> </v>
      </c>
      <c r="L476" s="67" t="str">
        <f t="shared" si="59"/>
        <v xml:space="preserve"> </v>
      </c>
      <c r="M476" s="61"/>
      <c r="N476" s="61"/>
      <c r="O476" s="61"/>
    </row>
    <row r="477" spans="1:17" ht="14.25" customHeight="1">
      <c r="A477" s="99" t="s">
        <v>35</v>
      </c>
      <c r="B477" s="84">
        <f>COUNT(I452:I476)</f>
        <v>0</v>
      </c>
      <c r="C477" s="84">
        <f>COUNT(K452:K476)</f>
        <v>0</v>
      </c>
      <c r="D477" s="84">
        <f>SUM(E452:E476)*2</f>
        <v>0</v>
      </c>
      <c r="E477" s="84"/>
      <c r="F477" s="84"/>
      <c r="G477" s="84"/>
      <c r="H477" s="84"/>
      <c r="I477" s="96" t="s">
        <v>36</v>
      </c>
      <c r="J477" s="97"/>
      <c r="K477" s="98" t="s">
        <v>37</v>
      </c>
      <c r="L477" s="97"/>
      <c r="M477" s="61"/>
      <c r="N477" s="61"/>
      <c r="O477" s="61"/>
    </row>
    <row r="478" spans="1:17" ht="14.25" customHeight="1">
      <c r="A478" s="105"/>
      <c r="B478" s="85"/>
      <c r="C478" s="85"/>
      <c r="D478" s="85"/>
      <c r="E478" s="85"/>
      <c r="F478" s="85"/>
      <c r="G478" s="85"/>
      <c r="H478" s="85"/>
      <c r="I478" s="99">
        <f>I446</f>
        <v>15</v>
      </c>
      <c r="J478" s="100"/>
      <c r="K478" s="103">
        <f>I478*D477*1.07</f>
        <v>0</v>
      </c>
      <c r="L478" s="100"/>
    </row>
    <row r="479" spans="1:17" ht="15.75" customHeight="1">
      <c r="A479" s="101"/>
      <c r="B479" s="86"/>
      <c r="C479" s="86"/>
      <c r="D479" s="86"/>
      <c r="E479" s="86"/>
      <c r="F479" s="86"/>
      <c r="G479" s="86"/>
      <c r="H479" s="86"/>
      <c r="I479" s="101"/>
      <c r="J479" s="102"/>
      <c r="K479" s="104"/>
      <c r="L479" s="102"/>
    </row>
    <row r="480" spans="1:17" ht="14.25" customHeight="1"/>
    <row r="481" spans="1:18" ht="14.25" customHeight="1"/>
    <row r="482" spans="1:18" ht="14.25" customHeight="1">
      <c r="A482" s="106" t="s">
        <v>2</v>
      </c>
      <c r="B482" s="107"/>
      <c r="C482" s="107"/>
      <c r="D482" s="107"/>
      <c r="E482" s="97"/>
      <c r="F482" s="106" t="s">
        <v>3</v>
      </c>
      <c r="G482" s="107"/>
      <c r="H482" s="97"/>
      <c r="I482" s="108" t="s">
        <v>4</v>
      </c>
      <c r="J482" s="109"/>
      <c r="K482" s="110" t="s">
        <v>5</v>
      </c>
      <c r="L482" s="109"/>
      <c r="O482" s="111" t="s">
        <v>7</v>
      </c>
      <c r="P482" s="107"/>
      <c r="Q482" s="107"/>
      <c r="R482" s="97"/>
    </row>
    <row r="483" spans="1:18" ht="14.25" customHeight="1">
      <c r="A483" s="55" t="s">
        <v>8</v>
      </c>
      <c r="B483" s="55" t="s">
        <v>9</v>
      </c>
      <c r="C483" s="55" t="s">
        <v>10</v>
      </c>
      <c r="D483" s="56" t="s">
        <v>11</v>
      </c>
      <c r="E483" s="57" t="s">
        <v>12</v>
      </c>
      <c r="F483" s="117" t="s">
        <v>11</v>
      </c>
      <c r="G483" s="104"/>
      <c r="H483" s="102"/>
      <c r="I483" s="58" t="s">
        <v>13</v>
      </c>
      <c r="J483" s="59" t="s">
        <v>14</v>
      </c>
      <c r="K483" s="60" t="s">
        <v>13</v>
      </c>
      <c r="L483" s="59" t="s">
        <v>14</v>
      </c>
      <c r="M483" s="61"/>
      <c r="N483" s="61"/>
      <c r="O483" s="112" t="s">
        <v>15</v>
      </c>
      <c r="P483" s="113"/>
      <c r="Q483" s="113"/>
      <c r="R483" s="114"/>
    </row>
    <row r="484" spans="1:18" ht="14.25" customHeight="1">
      <c r="A484" s="62">
        <v>42370</v>
      </c>
      <c r="B484" s="63">
        <v>1</v>
      </c>
      <c r="C484" s="64"/>
      <c r="D484" s="65"/>
      <c r="E484" s="65"/>
      <c r="F484" s="118"/>
      <c r="G484" s="119"/>
      <c r="H484" s="109"/>
      <c r="I484" s="66" t="str">
        <f t="shared" ref="I484:I508" si="60">IF(C484="L",IF(F484-D484&gt;0,F484-D484," "),IF(D484-F484&gt;0,D484-F484," "))</f>
        <v xml:space="preserve"> </v>
      </c>
      <c r="J484" s="67" t="str">
        <f t="shared" ref="J484:J508" si="61">IF(C484="L",IF(F484-D484&gt;0,(F484-D484)*200*E484," "),IF(D484-F484&gt;0,(D484-F484)*200*E484," "))</f>
        <v xml:space="preserve"> </v>
      </c>
      <c r="K484" s="68" t="str">
        <f t="shared" ref="K484:K508" si="62">IF(C484="L",IF(F484-D484&lt;0,F484-D484," "),IF(D484-F484&lt;0,D484-F484," "))</f>
        <v xml:space="preserve"> </v>
      </c>
      <c r="L484" s="67" t="str">
        <f t="shared" ref="L484:L508" si="63">IF(C484="L",IF(F484-D484&lt;0,(F484-D484)*200*E484," "),IF(D484-F484&lt;0,(D484-F484)*200*E484," "))</f>
        <v xml:space="preserve"> </v>
      </c>
      <c r="M484" s="61"/>
      <c r="N484" s="61"/>
      <c r="O484" s="22" t="s">
        <v>19</v>
      </c>
      <c r="P484" s="23">
        <f>B509+C509</f>
        <v>0</v>
      </c>
      <c r="Q484" s="115"/>
      <c r="R484" s="116"/>
    </row>
    <row r="485" spans="1:18" ht="14.25" customHeight="1">
      <c r="A485" s="63"/>
      <c r="B485" s="63">
        <v>2</v>
      </c>
      <c r="C485" s="64"/>
      <c r="D485" s="65"/>
      <c r="E485" s="65"/>
      <c r="F485" s="93"/>
      <c r="G485" s="94"/>
      <c r="H485" s="95"/>
      <c r="I485" s="66" t="str">
        <f t="shared" si="60"/>
        <v xml:space="preserve"> </v>
      </c>
      <c r="J485" s="67" t="str">
        <f t="shared" si="61"/>
        <v xml:space="preserve"> </v>
      </c>
      <c r="K485" s="68" t="str">
        <f t="shared" si="62"/>
        <v xml:space="preserve"> </v>
      </c>
      <c r="L485" s="67" t="str">
        <f t="shared" si="63"/>
        <v xml:space="preserve"> </v>
      </c>
      <c r="M485" s="61"/>
      <c r="N485" s="61"/>
      <c r="O485" s="70" t="s">
        <v>20</v>
      </c>
      <c r="P485" s="71" t="e">
        <f>B509/P484*100</f>
        <v>#DIV/0!</v>
      </c>
      <c r="Q485" s="72" t="s">
        <v>21</v>
      </c>
      <c r="R485" s="73" t="e">
        <f>C509/P484*100</f>
        <v>#DIV/0!</v>
      </c>
    </row>
    <row r="486" spans="1:18" ht="14.25" customHeight="1">
      <c r="A486" s="63"/>
      <c r="B486" s="63">
        <v>3</v>
      </c>
      <c r="C486" s="64"/>
      <c r="D486" s="65"/>
      <c r="E486" s="65"/>
      <c r="F486" s="93"/>
      <c r="G486" s="94"/>
      <c r="H486" s="95"/>
      <c r="I486" s="66" t="str">
        <f t="shared" si="60"/>
        <v xml:space="preserve"> </v>
      </c>
      <c r="J486" s="67" t="str">
        <f t="shared" si="61"/>
        <v xml:space="preserve"> </v>
      </c>
      <c r="K486" s="68" t="str">
        <f t="shared" si="62"/>
        <v xml:space="preserve"> </v>
      </c>
      <c r="L486" s="67" t="str">
        <f t="shared" si="63"/>
        <v xml:space="preserve"> </v>
      </c>
      <c r="M486" s="61"/>
      <c r="N486" s="61"/>
      <c r="O486" s="70" t="s">
        <v>22</v>
      </c>
      <c r="P486" s="74" t="e">
        <f>SUM(I484:I508)/B509</f>
        <v>#DIV/0!</v>
      </c>
      <c r="Q486" s="72" t="s">
        <v>23</v>
      </c>
      <c r="R486" s="75" t="e">
        <f>SUM(K484:K508)/C509</f>
        <v>#DIV/0!</v>
      </c>
    </row>
    <row r="487" spans="1:18" ht="14.25" customHeight="1">
      <c r="A487" s="63"/>
      <c r="B487" s="63">
        <v>4</v>
      </c>
      <c r="C487" s="64"/>
      <c r="D487" s="65"/>
      <c r="E487" s="65"/>
      <c r="F487" s="93"/>
      <c r="G487" s="94"/>
      <c r="H487" s="95"/>
      <c r="I487" s="66" t="str">
        <f t="shared" si="60"/>
        <v xml:space="preserve"> </v>
      </c>
      <c r="J487" s="67" t="str">
        <f t="shared" si="61"/>
        <v xml:space="preserve"> </v>
      </c>
      <c r="K487" s="68" t="str">
        <f t="shared" si="62"/>
        <v xml:space="preserve"> </v>
      </c>
      <c r="L487" s="67" t="str">
        <f t="shared" si="63"/>
        <v xml:space="preserve"> </v>
      </c>
      <c r="M487" s="61"/>
      <c r="N487" s="61"/>
      <c r="O487" s="76" t="s">
        <v>24</v>
      </c>
      <c r="P487" s="77">
        <f>SUM(J484:J508)</f>
        <v>0</v>
      </c>
      <c r="Q487" s="78" t="s">
        <v>25</v>
      </c>
      <c r="R487" s="79">
        <f>SUM(L484:L508)</f>
        <v>0</v>
      </c>
    </row>
    <row r="488" spans="1:18" ht="14.25" customHeight="1">
      <c r="A488" s="63"/>
      <c r="B488" s="63">
        <v>5</v>
      </c>
      <c r="C488" s="64"/>
      <c r="D488" s="65"/>
      <c r="E488" s="65"/>
      <c r="F488" s="93"/>
      <c r="G488" s="94"/>
      <c r="H488" s="95"/>
      <c r="I488" s="66" t="str">
        <f t="shared" si="60"/>
        <v xml:space="preserve"> </v>
      </c>
      <c r="J488" s="67" t="str">
        <f t="shared" si="61"/>
        <v xml:space="preserve"> </v>
      </c>
      <c r="K488" s="68" t="str">
        <f t="shared" si="62"/>
        <v xml:space="preserve"> </v>
      </c>
      <c r="L488" s="67" t="str">
        <f t="shared" si="63"/>
        <v xml:space="preserve"> </v>
      </c>
      <c r="M488" s="61"/>
      <c r="N488" s="61"/>
      <c r="O488" s="128" t="s">
        <v>26</v>
      </c>
      <c r="P488" s="119"/>
      <c r="Q488" s="119"/>
      <c r="R488" s="109"/>
    </row>
    <row r="489" spans="1:18" ht="14.25" customHeight="1">
      <c r="A489" s="63"/>
      <c r="B489" s="63">
        <v>6</v>
      </c>
      <c r="C489" s="64"/>
      <c r="D489" s="65"/>
      <c r="E489" s="65"/>
      <c r="F489" s="93"/>
      <c r="G489" s="94"/>
      <c r="H489" s="95"/>
      <c r="I489" s="66" t="str">
        <f t="shared" si="60"/>
        <v xml:space="preserve"> </v>
      </c>
      <c r="J489" s="67" t="str">
        <f t="shared" si="61"/>
        <v xml:space="preserve"> </v>
      </c>
      <c r="K489" s="68" t="str">
        <f t="shared" si="62"/>
        <v xml:space="preserve"> </v>
      </c>
      <c r="L489" s="67" t="str">
        <f t="shared" si="63"/>
        <v xml:space="preserve"> </v>
      </c>
      <c r="M489" s="61"/>
      <c r="N489" s="61"/>
      <c r="O489" s="129" t="s">
        <v>27</v>
      </c>
      <c r="P489" s="131">
        <f>P487+R487-K510</f>
        <v>0</v>
      </c>
      <c r="Q489" s="129" t="s">
        <v>28</v>
      </c>
      <c r="R489" s="133" t="e">
        <f>K510/P489</f>
        <v>#DIV/0!</v>
      </c>
    </row>
    <row r="490" spans="1:18" ht="14.25" customHeight="1">
      <c r="A490" s="63"/>
      <c r="B490" s="63">
        <v>7</v>
      </c>
      <c r="C490" s="64"/>
      <c r="D490" s="65"/>
      <c r="E490" s="65"/>
      <c r="F490" s="93"/>
      <c r="G490" s="94"/>
      <c r="H490" s="95"/>
      <c r="I490" s="66" t="str">
        <f t="shared" si="60"/>
        <v xml:space="preserve"> </v>
      </c>
      <c r="J490" s="67" t="str">
        <f t="shared" si="61"/>
        <v xml:space="preserve"> </v>
      </c>
      <c r="K490" s="68" t="str">
        <f t="shared" si="62"/>
        <v xml:space="preserve"> </v>
      </c>
      <c r="L490" s="67" t="str">
        <f t="shared" si="63"/>
        <v xml:space="preserve"> </v>
      </c>
      <c r="M490" s="61"/>
      <c r="N490" s="61"/>
      <c r="O490" s="130"/>
      <c r="P490" s="132"/>
      <c r="Q490" s="130"/>
      <c r="R490" s="132"/>
    </row>
    <row r="491" spans="1:18" ht="14.25" customHeight="1">
      <c r="A491" s="63"/>
      <c r="B491" s="63">
        <v>8</v>
      </c>
      <c r="C491" s="64"/>
      <c r="D491" s="65"/>
      <c r="E491" s="65"/>
      <c r="F491" s="93"/>
      <c r="G491" s="94"/>
      <c r="H491" s="95"/>
      <c r="I491" s="66" t="str">
        <f t="shared" si="60"/>
        <v xml:space="preserve"> </v>
      </c>
      <c r="J491" s="67" t="str">
        <f t="shared" si="61"/>
        <v xml:space="preserve"> </v>
      </c>
      <c r="K491" s="68" t="str">
        <f t="shared" si="62"/>
        <v xml:space="preserve"> </v>
      </c>
      <c r="L491" s="67" t="str">
        <f t="shared" si="63"/>
        <v xml:space="preserve"> </v>
      </c>
      <c r="M491" s="61"/>
      <c r="N491" s="61"/>
      <c r="O491" s="124" t="s">
        <v>29</v>
      </c>
      <c r="P491" s="125"/>
      <c r="Q491" s="100"/>
      <c r="R491" s="126" t="e">
        <f>IF(R487&lt;0,((P485*P486/100)+(R485*R486/100)),P486)</f>
        <v>#DIV/0!</v>
      </c>
    </row>
    <row r="492" spans="1:18" ht="14.25" customHeight="1">
      <c r="A492" s="63"/>
      <c r="B492" s="63">
        <v>9</v>
      </c>
      <c r="C492" s="64"/>
      <c r="D492" s="65"/>
      <c r="E492" s="65"/>
      <c r="F492" s="93"/>
      <c r="G492" s="94"/>
      <c r="H492" s="95"/>
      <c r="I492" s="66" t="str">
        <f t="shared" si="60"/>
        <v xml:space="preserve"> </v>
      </c>
      <c r="J492" s="67" t="str">
        <f t="shared" si="61"/>
        <v xml:space="preserve"> </v>
      </c>
      <c r="K492" s="68" t="str">
        <f t="shared" si="62"/>
        <v xml:space="preserve"> </v>
      </c>
      <c r="L492" s="67" t="str">
        <f t="shared" si="63"/>
        <v xml:space="preserve"> </v>
      </c>
      <c r="M492" s="61"/>
      <c r="N492" s="61"/>
      <c r="O492" s="101"/>
      <c r="P492" s="104"/>
      <c r="Q492" s="102"/>
      <c r="R492" s="127"/>
    </row>
    <row r="493" spans="1:18" ht="14.25" customHeight="1">
      <c r="A493" s="63"/>
      <c r="B493" s="63">
        <v>10</v>
      </c>
      <c r="C493" s="64"/>
      <c r="D493" s="65"/>
      <c r="E493" s="65"/>
      <c r="F493" s="93"/>
      <c r="G493" s="94"/>
      <c r="H493" s="95"/>
      <c r="I493" s="66" t="str">
        <f t="shared" si="60"/>
        <v xml:space="preserve"> </v>
      </c>
      <c r="J493" s="67" t="str">
        <f t="shared" si="61"/>
        <v xml:space="preserve"> </v>
      </c>
      <c r="K493" s="68" t="str">
        <f t="shared" si="62"/>
        <v xml:space="preserve"> </v>
      </c>
      <c r="L493" s="67" t="str">
        <f t="shared" si="63"/>
        <v xml:space="preserve"> </v>
      </c>
      <c r="M493" s="61"/>
      <c r="N493" s="61"/>
    </row>
    <row r="494" spans="1:18" ht="14.25" customHeight="1">
      <c r="A494" s="63"/>
      <c r="B494" s="63">
        <v>11</v>
      </c>
      <c r="C494" s="64"/>
      <c r="D494" s="65"/>
      <c r="E494" s="65"/>
      <c r="F494" s="93"/>
      <c r="G494" s="94"/>
      <c r="H494" s="95"/>
      <c r="I494" s="66" t="str">
        <f t="shared" si="60"/>
        <v xml:space="preserve"> </v>
      </c>
      <c r="J494" s="67" t="str">
        <f t="shared" si="61"/>
        <v xml:space="preserve"> </v>
      </c>
      <c r="K494" s="68" t="str">
        <f t="shared" si="62"/>
        <v xml:space="preserve"> </v>
      </c>
      <c r="L494" s="67" t="str">
        <f t="shared" si="63"/>
        <v xml:space="preserve"> </v>
      </c>
      <c r="M494" s="61"/>
      <c r="N494" s="61"/>
      <c r="O494" s="134" t="s">
        <v>30</v>
      </c>
      <c r="P494" s="107"/>
      <c r="Q494" s="97"/>
    </row>
    <row r="495" spans="1:18" ht="14.25" customHeight="1">
      <c r="A495" s="63"/>
      <c r="B495" s="63">
        <v>12</v>
      </c>
      <c r="C495" s="64"/>
      <c r="D495" s="65"/>
      <c r="E495" s="65"/>
      <c r="F495" s="93"/>
      <c r="G495" s="94"/>
      <c r="H495" s="95"/>
      <c r="I495" s="66" t="str">
        <f t="shared" si="60"/>
        <v xml:space="preserve"> </v>
      </c>
      <c r="J495" s="67" t="str">
        <f t="shared" si="61"/>
        <v xml:space="preserve"> </v>
      </c>
      <c r="K495" s="68" t="str">
        <f t="shared" si="62"/>
        <v xml:space="preserve"> </v>
      </c>
      <c r="L495" s="67" t="str">
        <f t="shared" si="63"/>
        <v xml:space="preserve"> </v>
      </c>
      <c r="M495" s="61"/>
      <c r="N495" s="61"/>
      <c r="O495" s="80" t="s">
        <v>31</v>
      </c>
      <c r="P495" s="135">
        <f>MAX(I484:I508)</f>
        <v>0</v>
      </c>
      <c r="Q495" s="95"/>
    </row>
    <row r="496" spans="1:18" ht="14.25" customHeight="1">
      <c r="A496" s="63"/>
      <c r="B496" s="63">
        <v>13</v>
      </c>
      <c r="C496" s="64"/>
      <c r="D496" s="65"/>
      <c r="E496" s="65"/>
      <c r="F496" s="93"/>
      <c r="G496" s="94"/>
      <c r="H496" s="95"/>
      <c r="I496" s="66" t="str">
        <f t="shared" si="60"/>
        <v xml:space="preserve"> </v>
      </c>
      <c r="J496" s="67" t="str">
        <f t="shared" si="61"/>
        <v xml:space="preserve"> </v>
      </c>
      <c r="K496" s="68" t="str">
        <f t="shared" si="62"/>
        <v xml:space="preserve"> </v>
      </c>
      <c r="L496" s="67" t="str">
        <f t="shared" si="63"/>
        <v xml:space="preserve"> </v>
      </c>
      <c r="M496" s="61"/>
      <c r="N496" s="61"/>
      <c r="O496" s="81" t="s">
        <v>32</v>
      </c>
      <c r="P496" s="123">
        <f>MAX(J484:J508)</f>
        <v>0</v>
      </c>
      <c r="Q496" s="95"/>
    </row>
    <row r="497" spans="1:17" ht="14.25" customHeight="1">
      <c r="A497" s="63"/>
      <c r="B497" s="63">
        <v>14</v>
      </c>
      <c r="C497" s="64"/>
      <c r="D497" s="65"/>
      <c r="E497" s="65"/>
      <c r="F497" s="93"/>
      <c r="G497" s="94"/>
      <c r="H497" s="95"/>
      <c r="I497" s="66" t="str">
        <f t="shared" si="60"/>
        <v xml:space="preserve"> </v>
      </c>
      <c r="J497" s="67" t="str">
        <f t="shared" si="61"/>
        <v xml:space="preserve"> </v>
      </c>
      <c r="K497" s="68" t="str">
        <f t="shared" si="62"/>
        <v xml:space="preserve"> </v>
      </c>
      <c r="L497" s="67" t="str">
        <f t="shared" si="63"/>
        <v xml:space="preserve"> </v>
      </c>
      <c r="M497" s="61"/>
      <c r="N497" s="61"/>
      <c r="O497" s="82" t="s">
        <v>33</v>
      </c>
      <c r="P497" s="120">
        <f>MIN(K484:K508)</f>
        <v>0</v>
      </c>
      <c r="Q497" s="95"/>
    </row>
    <row r="498" spans="1:17" ht="14.25" customHeight="1">
      <c r="A498" s="63"/>
      <c r="B498" s="63">
        <v>15</v>
      </c>
      <c r="C498" s="64"/>
      <c r="D498" s="65"/>
      <c r="E498" s="65"/>
      <c r="F498" s="93"/>
      <c r="G498" s="94"/>
      <c r="H498" s="95"/>
      <c r="I498" s="66" t="str">
        <f t="shared" si="60"/>
        <v xml:space="preserve"> </v>
      </c>
      <c r="J498" s="67" t="str">
        <f t="shared" si="61"/>
        <v xml:space="preserve"> </v>
      </c>
      <c r="K498" s="68" t="str">
        <f t="shared" si="62"/>
        <v xml:space="preserve"> </v>
      </c>
      <c r="L498" s="67" t="str">
        <f t="shared" si="63"/>
        <v xml:space="preserve"> </v>
      </c>
      <c r="M498" s="61"/>
      <c r="N498" s="61"/>
      <c r="O498" s="83" t="s">
        <v>34</v>
      </c>
      <c r="P498" s="121">
        <f>MIN(L484:L508)</f>
        <v>0</v>
      </c>
      <c r="Q498" s="122"/>
    </row>
    <row r="499" spans="1:17" ht="14.25" customHeight="1">
      <c r="A499" s="63"/>
      <c r="B499" s="63">
        <v>16</v>
      </c>
      <c r="C499" s="64"/>
      <c r="D499" s="65"/>
      <c r="E499" s="65"/>
      <c r="F499" s="93"/>
      <c r="G499" s="94"/>
      <c r="H499" s="95"/>
      <c r="I499" s="66" t="str">
        <f t="shared" si="60"/>
        <v xml:space="preserve"> </v>
      </c>
      <c r="J499" s="67" t="str">
        <f t="shared" si="61"/>
        <v xml:space="preserve"> </v>
      </c>
      <c r="K499" s="68" t="str">
        <f t="shared" si="62"/>
        <v xml:space="preserve"> </v>
      </c>
      <c r="L499" s="67" t="str">
        <f t="shared" si="63"/>
        <v xml:space="preserve"> </v>
      </c>
      <c r="M499" s="61"/>
      <c r="N499" s="61"/>
      <c r="O499" s="61"/>
    </row>
    <row r="500" spans="1:17" ht="14.25" customHeight="1">
      <c r="A500" s="63"/>
      <c r="B500" s="63">
        <v>17</v>
      </c>
      <c r="C500" s="64"/>
      <c r="D500" s="65"/>
      <c r="E500" s="65"/>
      <c r="F500" s="93"/>
      <c r="G500" s="94"/>
      <c r="H500" s="95"/>
      <c r="I500" s="66" t="str">
        <f t="shared" si="60"/>
        <v xml:space="preserve"> </v>
      </c>
      <c r="J500" s="67" t="str">
        <f t="shared" si="61"/>
        <v xml:space="preserve"> </v>
      </c>
      <c r="K500" s="68" t="str">
        <f t="shared" si="62"/>
        <v xml:space="preserve"> </v>
      </c>
      <c r="L500" s="67" t="str">
        <f t="shared" si="63"/>
        <v xml:space="preserve"> </v>
      </c>
      <c r="M500" s="61"/>
      <c r="N500" s="61"/>
      <c r="O500" s="61"/>
    </row>
    <row r="501" spans="1:17" ht="14.25" customHeight="1">
      <c r="A501" s="63"/>
      <c r="B501" s="63">
        <v>18</v>
      </c>
      <c r="C501" s="64"/>
      <c r="D501" s="65"/>
      <c r="E501" s="65"/>
      <c r="F501" s="93"/>
      <c r="G501" s="94"/>
      <c r="H501" s="95"/>
      <c r="I501" s="66" t="str">
        <f t="shared" si="60"/>
        <v xml:space="preserve"> </v>
      </c>
      <c r="J501" s="67" t="str">
        <f t="shared" si="61"/>
        <v xml:space="preserve"> </v>
      </c>
      <c r="K501" s="68" t="str">
        <f t="shared" si="62"/>
        <v xml:space="preserve"> </v>
      </c>
      <c r="L501" s="67" t="str">
        <f t="shared" si="63"/>
        <v xml:space="preserve"> </v>
      </c>
      <c r="M501" s="61"/>
      <c r="N501" s="61"/>
      <c r="O501" s="61"/>
    </row>
    <row r="502" spans="1:17" ht="14.25" customHeight="1">
      <c r="A502" s="63"/>
      <c r="B502" s="63">
        <v>19</v>
      </c>
      <c r="C502" s="64"/>
      <c r="D502" s="65"/>
      <c r="E502" s="65"/>
      <c r="F502" s="93"/>
      <c r="G502" s="94"/>
      <c r="H502" s="95"/>
      <c r="I502" s="66" t="str">
        <f t="shared" si="60"/>
        <v xml:space="preserve"> </v>
      </c>
      <c r="J502" s="67" t="str">
        <f t="shared" si="61"/>
        <v xml:space="preserve"> </v>
      </c>
      <c r="K502" s="68" t="str">
        <f t="shared" si="62"/>
        <v xml:space="preserve"> </v>
      </c>
      <c r="L502" s="67" t="str">
        <f t="shared" si="63"/>
        <v xml:space="preserve"> </v>
      </c>
      <c r="M502" s="61"/>
      <c r="N502" s="61"/>
      <c r="O502" s="61"/>
    </row>
    <row r="503" spans="1:17" ht="14.25" customHeight="1">
      <c r="A503" s="63"/>
      <c r="B503" s="63">
        <v>20</v>
      </c>
      <c r="C503" s="64"/>
      <c r="D503" s="65"/>
      <c r="E503" s="65"/>
      <c r="F503" s="93"/>
      <c r="G503" s="94"/>
      <c r="H503" s="95"/>
      <c r="I503" s="66" t="str">
        <f t="shared" si="60"/>
        <v xml:space="preserve"> </v>
      </c>
      <c r="J503" s="67" t="str">
        <f t="shared" si="61"/>
        <v xml:space="preserve"> </v>
      </c>
      <c r="K503" s="68" t="str">
        <f t="shared" si="62"/>
        <v xml:space="preserve"> </v>
      </c>
      <c r="L503" s="67" t="str">
        <f t="shared" si="63"/>
        <v xml:space="preserve"> </v>
      </c>
      <c r="M503" s="61"/>
      <c r="N503" s="61"/>
      <c r="O503" s="61"/>
    </row>
    <row r="504" spans="1:17" ht="14.25" customHeight="1">
      <c r="A504" s="63"/>
      <c r="B504" s="63">
        <v>21</v>
      </c>
      <c r="C504" s="64"/>
      <c r="D504" s="65"/>
      <c r="E504" s="65"/>
      <c r="F504" s="93"/>
      <c r="G504" s="94"/>
      <c r="H504" s="95"/>
      <c r="I504" s="66" t="str">
        <f t="shared" si="60"/>
        <v xml:space="preserve"> </v>
      </c>
      <c r="J504" s="67" t="str">
        <f t="shared" si="61"/>
        <v xml:space="preserve"> </v>
      </c>
      <c r="K504" s="68" t="str">
        <f t="shared" si="62"/>
        <v xml:space="preserve"> </v>
      </c>
      <c r="L504" s="67" t="str">
        <f t="shared" si="63"/>
        <v xml:space="preserve"> </v>
      </c>
      <c r="M504" s="61"/>
      <c r="N504" s="61"/>
      <c r="O504" s="61"/>
    </row>
    <row r="505" spans="1:17" ht="14.25" customHeight="1">
      <c r="A505" s="63"/>
      <c r="B505" s="63">
        <v>22</v>
      </c>
      <c r="C505" s="64"/>
      <c r="D505" s="65"/>
      <c r="E505" s="65"/>
      <c r="F505" s="93"/>
      <c r="G505" s="94"/>
      <c r="H505" s="95"/>
      <c r="I505" s="66" t="str">
        <f t="shared" si="60"/>
        <v xml:space="preserve"> </v>
      </c>
      <c r="J505" s="67" t="str">
        <f t="shared" si="61"/>
        <v xml:space="preserve"> </v>
      </c>
      <c r="K505" s="68" t="str">
        <f t="shared" si="62"/>
        <v xml:space="preserve"> </v>
      </c>
      <c r="L505" s="67" t="str">
        <f t="shared" si="63"/>
        <v xml:space="preserve"> </v>
      </c>
      <c r="M505" s="61"/>
      <c r="N505" s="61"/>
      <c r="O505" s="61"/>
    </row>
    <row r="506" spans="1:17" ht="14.25" customHeight="1">
      <c r="A506" s="63"/>
      <c r="B506" s="63">
        <v>23</v>
      </c>
      <c r="C506" s="64"/>
      <c r="D506" s="65"/>
      <c r="E506" s="65"/>
      <c r="F506" s="93"/>
      <c r="G506" s="94"/>
      <c r="H506" s="95"/>
      <c r="I506" s="66" t="str">
        <f t="shared" si="60"/>
        <v xml:space="preserve"> </v>
      </c>
      <c r="J506" s="67" t="str">
        <f t="shared" si="61"/>
        <v xml:space="preserve"> </v>
      </c>
      <c r="K506" s="68" t="str">
        <f t="shared" si="62"/>
        <v xml:space="preserve"> </v>
      </c>
      <c r="L506" s="67" t="str">
        <f t="shared" si="63"/>
        <v xml:space="preserve"> </v>
      </c>
      <c r="M506" s="61"/>
      <c r="N506" s="61"/>
      <c r="O506" s="61"/>
    </row>
    <row r="507" spans="1:17" ht="14.25" customHeight="1">
      <c r="A507" s="63"/>
      <c r="B507" s="63">
        <v>24</v>
      </c>
      <c r="C507" s="64"/>
      <c r="D507" s="65"/>
      <c r="E507" s="65"/>
      <c r="F507" s="93"/>
      <c r="G507" s="94"/>
      <c r="H507" s="95"/>
      <c r="I507" s="66" t="str">
        <f t="shared" si="60"/>
        <v xml:space="preserve"> </v>
      </c>
      <c r="J507" s="67" t="str">
        <f t="shared" si="61"/>
        <v xml:space="preserve"> </v>
      </c>
      <c r="K507" s="68" t="str">
        <f t="shared" si="62"/>
        <v xml:space="preserve"> </v>
      </c>
      <c r="L507" s="67" t="str">
        <f t="shared" si="63"/>
        <v xml:space="preserve"> </v>
      </c>
      <c r="M507" s="61"/>
      <c r="N507" s="61"/>
      <c r="O507" s="61"/>
    </row>
    <row r="508" spans="1:17" ht="14.25" customHeight="1">
      <c r="A508" s="63"/>
      <c r="B508" s="63">
        <v>25</v>
      </c>
      <c r="C508" s="87"/>
      <c r="D508" s="65"/>
      <c r="E508" s="65"/>
      <c r="F508" s="93"/>
      <c r="G508" s="94"/>
      <c r="H508" s="95"/>
      <c r="I508" s="66" t="str">
        <f t="shared" si="60"/>
        <v xml:space="preserve"> </v>
      </c>
      <c r="J508" s="67" t="str">
        <f t="shared" si="61"/>
        <v xml:space="preserve"> </v>
      </c>
      <c r="K508" s="68" t="str">
        <f t="shared" si="62"/>
        <v xml:space="preserve"> </v>
      </c>
      <c r="L508" s="67" t="str">
        <f t="shared" si="63"/>
        <v xml:space="preserve"> </v>
      </c>
      <c r="M508" s="61"/>
      <c r="N508" s="61"/>
      <c r="O508" s="61"/>
    </row>
    <row r="509" spans="1:17" ht="14.25" customHeight="1">
      <c r="A509" s="99" t="s">
        <v>35</v>
      </c>
      <c r="B509" s="84">
        <f>COUNT(I484:I508)</f>
        <v>0</v>
      </c>
      <c r="C509" s="84">
        <f>COUNT(K484:K508)</f>
        <v>0</v>
      </c>
      <c r="D509" s="84">
        <f>SUM(E484:E508)*2</f>
        <v>0</v>
      </c>
      <c r="E509" s="84"/>
      <c r="F509" s="84"/>
      <c r="G509" s="84"/>
      <c r="H509" s="84"/>
      <c r="I509" s="96" t="s">
        <v>36</v>
      </c>
      <c r="J509" s="97"/>
      <c r="K509" s="98" t="s">
        <v>37</v>
      </c>
      <c r="L509" s="97"/>
      <c r="M509" s="61"/>
      <c r="N509" s="61"/>
      <c r="O509" s="61"/>
    </row>
    <row r="510" spans="1:17" ht="14.25" customHeight="1">
      <c r="A510" s="105"/>
      <c r="B510" s="85"/>
      <c r="C510" s="85"/>
      <c r="D510" s="85"/>
      <c r="E510" s="85"/>
      <c r="F510" s="85"/>
      <c r="G510" s="85"/>
      <c r="H510" s="85"/>
      <c r="I510" s="99">
        <f>I478</f>
        <v>15</v>
      </c>
      <c r="J510" s="100"/>
      <c r="K510" s="103">
        <f>I510*D509*1.07</f>
        <v>0</v>
      </c>
      <c r="L510" s="100"/>
    </row>
    <row r="511" spans="1:17" ht="15.75" customHeight="1">
      <c r="A511" s="101"/>
      <c r="B511" s="86"/>
      <c r="C511" s="86"/>
      <c r="D511" s="86"/>
      <c r="E511" s="86"/>
      <c r="F511" s="86"/>
      <c r="G511" s="86"/>
      <c r="H511" s="86"/>
      <c r="I511" s="101"/>
      <c r="J511" s="102"/>
      <c r="K511" s="104"/>
      <c r="L511" s="102"/>
    </row>
    <row r="512" spans="1:17" ht="14.25" customHeight="1"/>
    <row r="513" spans="1:18" ht="14.25" customHeight="1"/>
    <row r="514" spans="1:18" ht="14.25" customHeight="1">
      <c r="A514" s="106" t="s">
        <v>2</v>
      </c>
      <c r="B514" s="107"/>
      <c r="C514" s="107"/>
      <c r="D514" s="107"/>
      <c r="E514" s="97"/>
      <c r="F514" s="106" t="s">
        <v>3</v>
      </c>
      <c r="G514" s="107"/>
      <c r="H514" s="97"/>
      <c r="I514" s="108" t="s">
        <v>4</v>
      </c>
      <c r="J514" s="109"/>
      <c r="K514" s="110" t="s">
        <v>5</v>
      </c>
      <c r="L514" s="109"/>
      <c r="O514" s="111" t="s">
        <v>7</v>
      </c>
      <c r="P514" s="107"/>
      <c r="Q514" s="107"/>
      <c r="R514" s="97"/>
    </row>
    <row r="515" spans="1:18" ht="14.25" customHeight="1">
      <c r="A515" s="55" t="s">
        <v>8</v>
      </c>
      <c r="B515" s="55" t="s">
        <v>9</v>
      </c>
      <c r="C515" s="55" t="s">
        <v>10</v>
      </c>
      <c r="D515" s="56" t="s">
        <v>11</v>
      </c>
      <c r="E515" s="57" t="s">
        <v>12</v>
      </c>
      <c r="F515" s="117" t="s">
        <v>11</v>
      </c>
      <c r="G515" s="104"/>
      <c r="H515" s="102"/>
      <c r="I515" s="58" t="s">
        <v>13</v>
      </c>
      <c r="J515" s="59" t="s">
        <v>14</v>
      </c>
      <c r="K515" s="60" t="s">
        <v>13</v>
      </c>
      <c r="L515" s="59" t="s">
        <v>14</v>
      </c>
      <c r="M515" s="61"/>
      <c r="N515" s="61"/>
      <c r="O515" s="112" t="s">
        <v>15</v>
      </c>
      <c r="P515" s="113"/>
      <c r="Q515" s="113"/>
      <c r="R515" s="114"/>
    </row>
    <row r="516" spans="1:18" ht="14.25" customHeight="1">
      <c r="A516" s="62">
        <v>42370</v>
      </c>
      <c r="B516" s="63">
        <v>1</v>
      </c>
      <c r="C516" s="64"/>
      <c r="D516" s="65"/>
      <c r="E516" s="65"/>
      <c r="F516" s="118"/>
      <c r="G516" s="119"/>
      <c r="H516" s="109"/>
      <c r="I516" s="66" t="str">
        <f t="shared" ref="I516:I540" si="64">IF(C516="L",IF(F516-D516&gt;0,F516-D516," "),IF(D516-F516&gt;0,D516-F516," "))</f>
        <v xml:space="preserve"> </v>
      </c>
      <c r="J516" s="67" t="str">
        <f t="shared" ref="J516:J540" si="65">IF(C516="L",IF(F516-D516&gt;0,(F516-D516)*200*E516," "),IF(D516-F516&gt;0,(D516-F516)*200*E516," "))</f>
        <v xml:space="preserve"> </v>
      </c>
      <c r="K516" s="68" t="str">
        <f t="shared" ref="K516:K540" si="66">IF(C516="L",IF(F516-D516&lt;0,F516-D516," "),IF(D516-F516&lt;0,D516-F516," "))</f>
        <v xml:space="preserve"> </v>
      </c>
      <c r="L516" s="67" t="str">
        <f t="shared" ref="L516:L540" si="67">IF(C516="L",IF(F516-D516&lt;0,(F516-D516)*200*E516," "),IF(D516-F516&lt;0,(D516-F516)*200*E516," "))</f>
        <v xml:space="preserve"> </v>
      </c>
      <c r="M516" s="61"/>
      <c r="N516" s="61"/>
      <c r="O516" s="22" t="s">
        <v>19</v>
      </c>
      <c r="P516" s="23">
        <f>B541+C541</f>
        <v>0</v>
      </c>
      <c r="Q516" s="115"/>
      <c r="R516" s="116"/>
    </row>
    <row r="517" spans="1:18" ht="14.25" customHeight="1">
      <c r="A517" s="63"/>
      <c r="B517" s="63">
        <v>2</v>
      </c>
      <c r="C517" s="64"/>
      <c r="D517" s="65"/>
      <c r="E517" s="65"/>
      <c r="F517" s="93"/>
      <c r="G517" s="94"/>
      <c r="H517" s="95"/>
      <c r="I517" s="66" t="str">
        <f t="shared" si="64"/>
        <v xml:space="preserve"> </v>
      </c>
      <c r="J517" s="67" t="str">
        <f t="shared" si="65"/>
        <v xml:space="preserve"> </v>
      </c>
      <c r="K517" s="68" t="str">
        <f t="shared" si="66"/>
        <v xml:space="preserve"> </v>
      </c>
      <c r="L517" s="67" t="str">
        <f t="shared" si="67"/>
        <v xml:space="preserve"> </v>
      </c>
      <c r="M517" s="61"/>
      <c r="N517" s="61"/>
      <c r="O517" s="70" t="s">
        <v>20</v>
      </c>
      <c r="P517" s="71" t="e">
        <f>B541/P516*100</f>
        <v>#DIV/0!</v>
      </c>
      <c r="Q517" s="72" t="s">
        <v>21</v>
      </c>
      <c r="R517" s="73" t="e">
        <f>C541/P516*100</f>
        <v>#DIV/0!</v>
      </c>
    </row>
    <row r="518" spans="1:18" ht="14.25" customHeight="1">
      <c r="A518" s="63"/>
      <c r="B518" s="63">
        <v>3</v>
      </c>
      <c r="C518" s="64"/>
      <c r="D518" s="65"/>
      <c r="E518" s="65"/>
      <c r="F518" s="93"/>
      <c r="G518" s="94"/>
      <c r="H518" s="95"/>
      <c r="I518" s="66" t="str">
        <f t="shared" si="64"/>
        <v xml:space="preserve"> </v>
      </c>
      <c r="J518" s="67" t="str">
        <f t="shared" si="65"/>
        <v xml:space="preserve"> </v>
      </c>
      <c r="K518" s="68" t="str">
        <f t="shared" si="66"/>
        <v xml:space="preserve"> </v>
      </c>
      <c r="L518" s="67" t="str">
        <f t="shared" si="67"/>
        <v xml:space="preserve"> </v>
      </c>
      <c r="M518" s="61"/>
      <c r="N518" s="61"/>
      <c r="O518" s="70" t="s">
        <v>22</v>
      </c>
      <c r="P518" s="74" t="e">
        <f>SUM(I516:I540)/B541</f>
        <v>#DIV/0!</v>
      </c>
      <c r="Q518" s="72" t="s">
        <v>23</v>
      </c>
      <c r="R518" s="75" t="e">
        <f>SUM(K516:K540)/C541</f>
        <v>#DIV/0!</v>
      </c>
    </row>
    <row r="519" spans="1:18" ht="14.25" customHeight="1">
      <c r="A519" s="63"/>
      <c r="B519" s="63">
        <v>4</v>
      </c>
      <c r="C519" s="64"/>
      <c r="D519" s="65"/>
      <c r="E519" s="65"/>
      <c r="F519" s="93"/>
      <c r="G519" s="94"/>
      <c r="H519" s="95"/>
      <c r="I519" s="66" t="str">
        <f t="shared" si="64"/>
        <v xml:space="preserve"> </v>
      </c>
      <c r="J519" s="67" t="str">
        <f t="shared" si="65"/>
        <v xml:space="preserve"> </v>
      </c>
      <c r="K519" s="68" t="str">
        <f t="shared" si="66"/>
        <v xml:space="preserve"> </v>
      </c>
      <c r="L519" s="67" t="str">
        <f t="shared" si="67"/>
        <v xml:space="preserve"> </v>
      </c>
      <c r="M519" s="61"/>
      <c r="N519" s="61"/>
      <c r="O519" s="76" t="s">
        <v>24</v>
      </c>
      <c r="P519" s="77">
        <f>SUM(J516:J540)</f>
        <v>0</v>
      </c>
      <c r="Q519" s="78" t="s">
        <v>25</v>
      </c>
      <c r="R519" s="79">
        <f>SUM(L516:L540)</f>
        <v>0</v>
      </c>
    </row>
    <row r="520" spans="1:18" ht="14.25" customHeight="1">
      <c r="A520" s="63"/>
      <c r="B520" s="63">
        <v>5</v>
      </c>
      <c r="C520" s="64"/>
      <c r="D520" s="65"/>
      <c r="E520" s="65"/>
      <c r="F520" s="93"/>
      <c r="G520" s="94"/>
      <c r="H520" s="95"/>
      <c r="I520" s="66" t="str">
        <f t="shared" si="64"/>
        <v xml:space="preserve"> </v>
      </c>
      <c r="J520" s="67" t="str">
        <f t="shared" si="65"/>
        <v xml:space="preserve"> </v>
      </c>
      <c r="K520" s="68" t="str">
        <f t="shared" si="66"/>
        <v xml:space="preserve"> </v>
      </c>
      <c r="L520" s="67" t="str">
        <f t="shared" si="67"/>
        <v xml:space="preserve"> </v>
      </c>
      <c r="M520" s="61"/>
      <c r="N520" s="61"/>
      <c r="O520" s="128" t="s">
        <v>26</v>
      </c>
      <c r="P520" s="119"/>
      <c r="Q520" s="119"/>
      <c r="R520" s="109"/>
    </row>
    <row r="521" spans="1:18" ht="14.25" customHeight="1">
      <c r="A521" s="63"/>
      <c r="B521" s="63">
        <v>6</v>
      </c>
      <c r="C521" s="64"/>
      <c r="D521" s="65"/>
      <c r="E521" s="65"/>
      <c r="F521" s="93"/>
      <c r="G521" s="94"/>
      <c r="H521" s="95"/>
      <c r="I521" s="66" t="str">
        <f t="shared" si="64"/>
        <v xml:space="preserve"> </v>
      </c>
      <c r="J521" s="67" t="str">
        <f t="shared" si="65"/>
        <v xml:space="preserve"> </v>
      </c>
      <c r="K521" s="68" t="str">
        <f t="shared" si="66"/>
        <v xml:space="preserve"> </v>
      </c>
      <c r="L521" s="67" t="str">
        <f t="shared" si="67"/>
        <v xml:space="preserve"> </v>
      </c>
      <c r="M521" s="61"/>
      <c r="N521" s="61"/>
      <c r="O521" s="129" t="s">
        <v>27</v>
      </c>
      <c r="P521" s="131">
        <f>P519+R519-K542</f>
        <v>0</v>
      </c>
      <c r="Q521" s="129" t="s">
        <v>28</v>
      </c>
      <c r="R521" s="133" t="e">
        <f>K542/P521</f>
        <v>#DIV/0!</v>
      </c>
    </row>
    <row r="522" spans="1:18" ht="14.25" customHeight="1">
      <c r="A522" s="63"/>
      <c r="B522" s="63">
        <v>7</v>
      </c>
      <c r="C522" s="64"/>
      <c r="D522" s="65"/>
      <c r="E522" s="65"/>
      <c r="F522" s="93"/>
      <c r="G522" s="94"/>
      <c r="H522" s="95"/>
      <c r="I522" s="66" t="str">
        <f t="shared" si="64"/>
        <v xml:space="preserve"> </v>
      </c>
      <c r="J522" s="67" t="str">
        <f t="shared" si="65"/>
        <v xml:space="preserve"> </v>
      </c>
      <c r="K522" s="68" t="str">
        <f t="shared" si="66"/>
        <v xml:space="preserve"> </v>
      </c>
      <c r="L522" s="67" t="str">
        <f t="shared" si="67"/>
        <v xml:space="preserve"> </v>
      </c>
      <c r="M522" s="61"/>
      <c r="N522" s="61"/>
      <c r="O522" s="130"/>
      <c r="P522" s="132"/>
      <c r="Q522" s="130"/>
      <c r="R522" s="132"/>
    </row>
    <row r="523" spans="1:18" ht="14.25" customHeight="1">
      <c r="A523" s="63"/>
      <c r="B523" s="63">
        <v>8</v>
      </c>
      <c r="C523" s="64"/>
      <c r="D523" s="65"/>
      <c r="E523" s="65"/>
      <c r="F523" s="93"/>
      <c r="G523" s="94"/>
      <c r="H523" s="95"/>
      <c r="I523" s="66" t="str">
        <f t="shared" si="64"/>
        <v xml:space="preserve"> </v>
      </c>
      <c r="J523" s="67" t="str">
        <f t="shared" si="65"/>
        <v xml:space="preserve"> </v>
      </c>
      <c r="K523" s="68" t="str">
        <f t="shared" si="66"/>
        <v xml:space="preserve"> </v>
      </c>
      <c r="L523" s="67" t="str">
        <f t="shared" si="67"/>
        <v xml:space="preserve"> </v>
      </c>
      <c r="M523" s="61"/>
      <c r="N523" s="61"/>
      <c r="O523" s="124" t="s">
        <v>29</v>
      </c>
      <c r="P523" s="125"/>
      <c r="Q523" s="100"/>
      <c r="R523" s="126" t="e">
        <f>IF(R519&lt;0,((P517*P518/100)+(R517*R518/100)),P518)</f>
        <v>#DIV/0!</v>
      </c>
    </row>
    <row r="524" spans="1:18" ht="14.25" customHeight="1">
      <c r="A524" s="63"/>
      <c r="B524" s="63">
        <v>9</v>
      </c>
      <c r="C524" s="64"/>
      <c r="D524" s="65"/>
      <c r="E524" s="65"/>
      <c r="F524" s="93"/>
      <c r="G524" s="94"/>
      <c r="H524" s="95"/>
      <c r="I524" s="66" t="str">
        <f t="shared" si="64"/>
        <v xml:space="preserve"> </v>
      </c>
      <c r="J524" s="67" t="str">
        <f t="shared" si="65"/>
        <v xml:space="preserve"> </v>
      </c>
      <c r="K524" s="68" t="str">
        <f t="shared" si="66"/>
        <v xml:space="preserve"> </v>
      </c>
      <c r="L524" s="67" t="str">
        <f t="shared" si="67"/>
        <v xml:space="preserve"> </v>
      </c>
      <c r="M524" s="61"/>
      <c r="N524" s="61"/>
      <c r="O524" s="101"/>
      <c r="P524" s="104"/>
      <c r="Q524" s="102"/>
      <c r="R524" s="127"/>
    </row>
    <row r="525" spans="1:18" ht="14.25" customHeight="1">
      <c r="A525" s="63"/>
      <c r="B525" s="63">
        <v>10</v>
      </c>
      <c r="C525" s="64"/>
      <c r="D525" s="65"/>
      <c r="E525" s="65"/>
      <c r="F525" s="93"/>
      <c r="G525" s="94"/>
      <c r="H525" s="95"/>
      <c r="I525" s="66" t="str">
        <f t="shared" si="64"/>
        <v xml:space="preserve"> </v>
      </c>
      <c r="J525" s="67" t="str">
        <f t="shared" si="65"/>
        <v xml:space="preserve"> </v>
      </c>
      <c r="K525" s="68" t="str">
        <f t="shared" si="66"/>
        <v xml:space="preserve"> </v>
      </c>
      <c r="L525" s="67" t="str">
        <f t="shared" si="67"/>
        <v xml:space="preserve"> </v>
      </c>
      <c r="M525" s="61"/>
      <c r="N525" s="61"/>
    </row>
    <row r="526" spans="1:18" ht="14.25" customHeight="1">
      <c r="A526" s="63"/>
      <c r="B526" s="63">
        <v>11</v>
      </c>
      <c r="C526" s="64"/>
      <c r="D526" s="65"/>
      <c r="E526" s="65"/>
      <c r="F526" s="93"/>
      <c r="G526" s="94"/>
      <c r="H526" s="95"/>
      <c r="I526" s="66" t="str">
        <f t="shared" si="64"/>
        <v xml:space="preserve"> </v>
      </c>
      <c r="J526" s="67" t="str">
        <f t="shared" si="65"/>
        <v xml:space="preserve"> </v>
      </c>
      <c r="K526" s="68" t="str">
        <f t="shared" si="66"/>
        <v xml:space="preserve"> </v>
      </c>
      <c r="L526" s="67" t="str">
        <f t="shared" si="67"/>
        <v xml:space="preserve"> </v>
      </c>
      <c r="M526" s="61"/>
      <c r="N526" s="61"/>
      <c r="O526" s="134" t="s">
        <v>30</v>
      </c>
      <c r="P526" s="107"/>
      <c r="Q526" s="97"/>
    </row>
    <row r="527" spans="1:18" ht="14.25" customHeight="1">
      <c r="A527" s="63"/>
      <c r="B527" s="63">
        <v>12</v>
      </c>
      <c r="C527" s="64"/>
      <c r="D527" s="65"/>
      <c r="E527" s="65"/>
      <c r="F527" s="93"/>
      <c r="G527" s="94"/>
      <c r="H527" s="95"/>
      <c r="I527" s="66" t="str">
        <f t="shared" si="64"/>
        <v xml:space="preserve"> </v>
      </c>
      <c r="J527" s="67" t="str">
        <f t="shared" si="65"/>
        <v xml:space="preserve"> </v>
      </c>
      <c r="K527" s="68" t="str">
        <f t="shared" si="66"/>
        <v xml:space="preserve"> </v>
      </c>
      <c r="L527" s="67" t="str">
        <f t="shared" si="67"/>
        <v xml:space="preserve"> </v>
      </c>
      <c r="M527" s="61"/>
      <c r="N527" s="61"/>
      <c r="O527" s="80" t="s">
        <v>31</v>
      </c>
      <c r="P527" s="135">
        <f>MAX(I516:I540)</f>
        <v>0</v>
      </c>
      <c r="Q527" s="95"/>
    </row>
    <row r="528" spans="1:18" ht="14.25" customHeight="1">
      <c r="A528" s="63"/>
      <c r="B528" s="63">
        <v>13</v>
      </c>
      <c r="C528" s="64"/>
      <c r="D528" s="65"/>
      <c r="E528" s="65"/>
      <c r="F528" s="93"/>
      <c r="G528" s="94"/>
      <c r="H528" s="95"/>
      <c r="I528" s="66" t="str">
        <f t="shared" si="64"/>
        <v xml:space="preserve"> </v>
      </c>
      <c r="J528" s="67" t="str">
        <f t="shared" si="65"/>
        <v xml:space="preserve"> </v>
      </c>
      <c r="K528" s="68" t="str">
        <f t="shared" si="66"/>
        <v xml:space="preserve"> </v>
      </c>
      <c r="L528" s="67" t="str">
        <f t="shared" si="67"/>
        <v xml:space="preserve"> </v>
      </c>
      <c r="M528" s="61"/>
      <c r="N528" s="61"/>
      <c r="O528" s="81" t="s">
        <v>32</v>
      </c>
      <c r="P528" s="123">
        <f>MAX(J516:J540)</f>
        <v>0</v>
      </c>
      <c r="Q528" s="95"/>
    </row>
    <row r="529" spans="1:17" ht="14.25" customHeight="1">
      <c r="A529" s="63"/>
      <c r="B529" s="63">
        <v>14</v>
      </c>
      <c r="C529" s="64"/>
      <c r="D529" s="65"/>
      <c r="E529" s="65"/>
      <c r="F529" s="93"/>
      <c r="G529" s="94"/>
      <c r="H529" s="95"/>
      <c r="I529" s="66" t="str">
        <f t="shared" si="64"/>
        <v xml:space="preserve"> </v>
      </c>
      <c r="J529" s="67" t="str">
        <f t="shared" si="65"/>
        <v xml:space="preserve"> </v>
      </c>
      <c r="K529" s="68" t="str">
        <f t="shared" si="66"/>
        <v xml:space="preserve"> </v>
      </c>
      <c r="L529" s="67" t="str">
        <f t="shared" si="67"/>
        <v xml:space="preserve"> </v>
      </c>
      <c r="M529" s="61"/>
      <c r="N529" s="61"/>
      <c r="O529" s="82" t="s">
        <v>33</v>
      </c>
      <c r="P529" s="120">
        <f>MIN(K516:K540)</f>
        <v>0</v>
      </c>
      <c r="Q529" s="95"/>
    </row>
    <row r="530" spans="1:17" ht="14.25" customHeight="1">
      <c r="A530" s="63"/>
      <c r="B530" s="63">
        <v>15</v>
      </c>
      <c r="C530" s="64"/>
      <c r="D530" s="65"/>
      <c r="E530" s="65"/>
      <c r="F530" s="93"/>
      <c r="G530" s="94"/>
      <c r="H530" s="95"/>
      <c r="I530" s="66" t="str">
        <f t="shared" si="64"/>
        <v xml:space="preserve"> </v>
      </c>
      <c r="J530" s="67" t="str">
        <f t="shared" si="65"/>
        <v xml:space="preserve"> </v>
      </c>
      <c r="K530" s="68" t="str">
        <f t="shared" si="66"/>
        <v xml:space="preserve"> </v>
      </c>
      <c r="L530" s="67" t="str">
        <f t="shared" si="67"/>
        <v xml:space="preserve"> </v>
      </c>
      <c r="M530" s="61"/>
      <c r="N530" s="61"/>
      <c r="O530" s="83" t="s">
        <v>34</v>
      </c>
      <c r="P530" s="121">
        <f>MIN(L516:L540)</f>
        <v>0</v>
      </c>
      <c r="Q530" s="122"/>
    </row>
    <row r="531" spans="1:17" ht="14.25" customHeight="1">
      <c r="A531" s="63"/>
      <c r="B531" s="63">
        <v>16</v>
      </c>
      <c r="C531" s="64"/>
      <c r="D531" s="65"/>
      <c r="E531" s="65"/>
      <c r="F531" s="93"/>
      <c r="G531" s="94"/>
      <c r="H531" s="95"/>
      <c r="I531" s="66" t="str">
        <f t="shared" si="64"/>
        <v xml:space="preserve"> </v>
      </c>
      <c r="J531" s="67" t="str">
        <f t="shared" si="65"/>
        <v xml:space="preserve"> </v>
      </c>
      <c r="K531" s="68" t="str">
        <f t="shared" si="66"/>
        <v xml:space="preserve"> </v>
      </c>
      <c r="L531" s="67" t="str">
        <f t="shared" si="67"/>
        <v xml:space="preserve"> </v>
      </c>
      <c r="M531" s="61"/>
      <c r="N531" s="61"/>
      <c r="O531" s="61"/>
    </row>
    <row r="532" spans="1:17" ht="14.25" customHeight="1">
      <c r="A532" s="63"/>
      <c r="B532" s="63">
        <v>17</v>
      </c>
      <c r="C532" s="64"/>
      <c r="D532" s="65"/>
      <c r="E532" s="65"/>
      <c r="F532" s="93"/>
      <c r="G532" s="94"/>
      <c r="H532" s="95"/>
      <c r="I532" s="66" t="str">
        <f t="shared" si="64"/>
        <v xml:space="preserve"> </v>
      </c>
      <c r="J532" s="67" t="str">
        <f t="shared" si="65"/>
        <v xml:space="preserve"> </v>
      </c>
      <c r="K532" s="68" t="str">
        <f t="shared" si="66"/>
        <v xml:space="preserve"> </v>
      </c>
      <c r="L532" s="67" t="str">
        <f t="shared" si="67"/>
        <v xml:space="preserve"> </v>
      </c>
      <c r="M532" s="61"/>
      <c r="N532" s="61"/>
      <c r="O532" s="61"/>
    </row>
    <row r="533" spans="1:17" ht="14.25" customHeight="1">
      <c r="A533" s="63"/>
      <c r="B533" s="63">
        <v>18</v>
      </c>
      <c r="C533" s="64"/>
      <c r="D533" s="65"/>
      <c r="E533" s="65"/>
      <c r="F533" s="93"/>
      <c r="G533" s="94"/>
      <c r="H533" s="95"/>
      <c r="I533" s="66" t="str">
        <f t="shared" si="64"/>
        <v xml:space="preserve"> </v>
      </c>
      <c r="J533" s="67" t="str">
        <f t="shared" si="65"/>
        <v xml:space="preserve"> </v>
      </c>
      <c r="K533" s="68" t="str">
        <f t="shared" si="66"/>
        <v xml:space="preserve"> </v>
      </c>
      <c r="L533" s="67" t="str">
        <f t="shared" si="67"/>
        <v xml:space="preserve"> </v>
      </c>
      <c r="M533" s="61"/>
      <c r="N533" s="61"/>
      <c r="O533" s="61"/>
    </row>
    <row r="534" spans="1:17" ht="14.25" customHeight="1">
      <c r="A534" s="63"/>
      <c r="B534" s="63">
        <v>19</v>
      </c>
      <c r="C534" s="64"/>
      <c r="D534" s="65"/>
      <c r="E534" s="65"/>
      <c r="F534" s="93"/>
      <c r="G534" s="94"/>
      <c r="H534" s="95"/>
      <c r="I534" s="66" t="str">
        <f t="shared" si="64"/>
        <v xml:space="preserve"> </v>
      </c>
      <c r="J534" s="67" t="str">
        <f t="shared" si="65"/>
        <v xml:space="preserve"> </v>
      </c>
      <c r="K534" s="68" t="str">
        <f t="shared" si="66"/>
        <v xml:space="preserve"> </v>
      </c>
      <c r="L534" s="67" t="str">
        <f t="shared" si="67"/>
        <v xml:space="preserve"> </v>
      </c>
      <c r="M534" s="61"/>
      <c r="N534" s="61"/>
      <c r="O534" s="61"/>
    </row>
    <row r="535" spans="1:17" ht="14.25" customHeight="1">
      <c r="A535" s="63"/>
      <c r="B535" s="63">
        <v>20</v>
      </c>
      <c r="C535" s="64"/>
      <c r="D535" s="65"/>
      <c r="E535" s="65"/>
      <c r="F535" s="93"/>
      <c r="G535" s="94"/>
      <c r="H535" s="95"/>
      <c r="I535" s="66" t="str">
        <f t="shared" si="64"/>
        <v xml:space="preserve"> </v>
      </c>
      <c r="J535" s="67" t="str">
        <f t="shared" si="65"/>
        <v xml:space="preserve"> </v>
      </c>
      <c r="K535" s="68" t="str">
        <f t="shared" si="66"/>
        <v xml:space="preserve"> </v>
      </c>
      <c r="L535" s="67" t="str">
        <f t="shared" si="67"/>
        <v xml:space="preserve"> </v>
      </c>
      <c r="M535" s="61"/>
      <c r="N535" s="61"/>
      <c r="O535" s="61"/>
    </row>
    <row r="536" spans="1:17" ht="14.25" customHeight="1">
      <c r="A536" s="63"/>
      <c r="B536" s="63">
        <v>21</v>
      </c>
      <c r="C536" s="64"/>
      <c r="D536" s="65"/>
      <c r="E536" s="65"/>
      <c r="F536" s="93"/>
      <c r="G536" s="94"/>
      <c r="H536" s="95"/>
      <c r="I536" s="66" t="str">
        <f t="shared" si="64"/>
        <v xml:space="preserve"> </v>
      </c>
      <c r="J536" s="67" t="str">
        <f t="shared" si="65"/>
        <v xml:space="preserve"> </v>
      </c>
      <c r="K536" s="68" t="str">
        <f t="shared" si="66"/>
        <v xml:space="preserve"> </v>
      </c>
      <c r="L536" s="67" t="str">
        <f t="shared" si="67"/>
        <v xml:space="preserve"> </v>
      </c>
      <c r="M536" s="61"/>
      <c r="N536" s="61"/>
      <c r="O536" s="61"/>
    </row>
    <row r="537" spans="1:17" ht="14.25" customHeight="1">
      <c r="A537" s="63"/>
      <c r="B537" s="63">
        <v>22</v>
      </c>
      <c r="C537" s="64"/>
      <c r="D537" s="65"/>
      <c r="E537" s="65"/>
      <c r="F537" s="93"/>
      <c r="G537" s="94"/>
      <c r="H537" s="95"/>
      <c r="I537" s="66" t="str">
        <f t="shared" si="64"/>
        <v xml:space="preserve"> </v>
      </c>
      <c r="J537" s="67" t="str">
        <f t="shared" si="65"/>
        <v xml:space="preserve"> </v>
      </c>
      <c r="K537" s="68" t="str">
        <f t="shared" si="66"/>
        <v xml:space="preserve"> </v>
      </c>
      <c r="L537" s="67" t="str">
        <f t="shared" si="67"/>
        <v xml:space="preserve"> </v>
      </c>
      <c r="M537" s="61"/>
      <c r="N537" s="61"/>
      <c r="O537" s="61"/>
    </row>
    <row r="538" spans="1:17" ht="14.25" customHeight="1">
      <c r="A538" s="63"/>
      <c r="B538" s="63">
        <v>23</v>
      </c>
      <c r="C538" s="64"/>
      <c r="D538" s="65"/>
      <c r="E538" s="65"/>
      <c r="F538" s="93"/>
      <c r="G538" s="94"/>
      <c r="H538" s="95"/>
      <c r="I538" s="66" t="str">
        <f t="shared" si="64"/>
        <v xml:space="preserve"> </v>
      </c>
      <c r="J538" s="67" t="str">
        <f t="shared" si="65"/>
        <v xml:space="preserve"> </v>
      </c>
      <c r="K538" s="68" t="str">
        <f t="shared" si="66"/>
        <v xml:space="preserve"> </v>
      </c>
      <c r="L538" s="67" t="str">
        <f t="shared" si="67"/>
        <v xml:space="preserve"> </v>
      </c>
      <c r="M538" s="61"/>
      <c r="N538" s="61"/>
      <c r="O538" s="61"/>
    </row>
    <row r="539" spans="1:17" ht="14.25" customHeight="1">
      <c r="A539" s="63"/>
      <c r="B539" s="63">
        <v>24</v>
      </c>
      <c r="C539" s="64"/>
      <c r="D539" s="65"/>
      <c r="E539" s="65"/>
      <c r="F539" s="93"/>
      <c r="G539" s="94"/>
      <c r="H539" s="95"/>
      <c r="I539" s="66" t="str">
        <f t="shared" si="64"/>
        <v xml:space="preserve"> </v>
      </c>
      <c r="J539" s="67" t="str">
        <f t="shared" si="65"/>
        <v xml:space="preserve"> </v>
      </c>
      <c r="K539" s="68" t="str">
        <f t="shared" si="66"/>
        <v xml:space="preserve"> </v>
      </c>
      <c r="L539" s="67" t="str">
        <f t="shared" si="67"/>
        <v xml:space="preserve"> </v>
      </c>
      <c r="M539" s="61"/>
      <c r="N539" s="61"/>
      <c r="O539" s="61"/>
    </row>
    <row r="540" spans="1:17" ht="14.25" customHeight="1">
      <c r="A540" s="63"/>
      <c r="B540" s="63">
        <v>25</v>
      </c>
      <c r="C540" s="87"/>
      <c r="D540" s="65"/>
      <c r="E540" s="65"/>
      <c r="F540" s="93"/>
      <c r="G540" s="94"/>
      <c r="H540" s="95"/>
      <c r="I540" s="66" t="str">
        <f t="shared" si="64"/>
        <v xml:space="preserve"> </v>
      </c>
      <c r="J540" s="67" t="str">
        <f t="shared" si="65"/>
        <v xml:space="preserve"> </v>
      </c>
      <c r="K540" s="68" t="str">
        <f t="shared" si="66"/>
        <v xml:space="preserve"> </v>
      </c>
      <c r="L540" s="67" t="str">
        <f t="shared" si="67"/>
        <v xml:space="preserve"> </v>
      </c>
      <c r="M540" s="61"/>
      <c r="N540" s="61"/>
      <c r="O540" s="61"/>
    </row>
    <row r="541" spans="1:17" ht="14.25" customHeight="1">
      <c r="A541" s="99" t="s">
        <v>35</v>
      </c>
      <c r="B541" s="84">
        <f>COUNT(I516:I540)</f>
        <v>0</v>
      </c>
      <c r="C541" s="84">
        <f>COUNT(K516:K540)</f>
        <v>0</v>
      </c>
      <c r="D541" s="84">
        <f>SUM(E516:E540)*2</f>
        <v>0</v>
      </c>
      <c r="E541" s="84"/>
      <c r="F541" s="84"/>
      <c r="G541" s="84"/>
      <c r="H541" s="84"/>
      <c r="I541" s="96" t="s">
        <v>36</v>
      </c>
      <c r="J541" s="97"/>
      <c r="K541" s="98" t="s">
        <v>37</v>
      </c>
      <c r="L541" s="97"/>
      <c r="M541" s="61"/>
      <c r="N541" s="61"/>
      <c r="O541" s="61"/>
    </row>
    <row r="542" spans="1:17" ht="14.25" customHeight="1">
      <c r="A542" s="105"/>
      <c r="B542" s="85"/>
      <c r="C542" s="85"/>
      <c r="D542" s="85"/>
      <c r="E542" s="85"/>
      <c r="F542" s="85"/>
      <c r="G542" s="85"/>
      <c r="H542" s="85"/>
      <c r="I542" s="99">
        <f>I510</f>
        <v>15</v>
      </c>
      <c r="J542" s="100"/>
      <c r="K542" s="103">
        <f>I542*D541*1.07</f>
        <v>0</v>
      </c>
      <c r="L542" s="100"/>
    </row>
    <row r="543" spans="1:17" ht="15.75" customHeight="1">
      <c r="A543" s="101"/>
      <c r="B543" s="86"/>
      <c r="C543" s="86"/>
      <c r="D543" s="86"/>
      <c r="E543" s="86"/>
      <c r="F543" s="86"/>
      <c r="G543" s="86"/>
      <c r="H543" s="86"/>
      <c r="I543" s="101"/>
      <c r="J543" s="102"/>
      <c r="K543" s="104"/>
      <c r="L543" s="102"/>
    </row>
    <row r="544" spans="1:17" ht="14.25" customHeight="1"/>
    <row r="545" spans="1:18" ht="14.25" customHeight="1"/>
    <row r="546" spans="1:18" ht="14.25" customHeight="1">
      <c r="A546" s="106" t="s">
        <v>2</v>
      </c>
      <c r="B546" s="107"/>
      <c r="C546" s="107"/>
      <c r="D546" s="107"/>
      <c r="E546" s="97"/>
      <c r="F546" s="106" t="s">
        <v>3</v>
      </c>
      <c r="G546" s="107"/>
      <c r="H546" s="97"/>
      <c r="I546" s="108" t="s">
        <v>4</v>
      </c>
      <c r="J546" s="109"/>
      <c r="K546" s="110" t="s">
        <v>5</v>
      </c>
      <c r="L546" s="109"/>
      <c r="O546" s="111" t="s">
        <v>7</v>
      </c>
      <c r="P546" s="107"/>
      <c r="Q546" s="107"/>
      <c r="R546" s="97"/>
    </row>
    <row r="547" spans="1:18" ht="14.25" customHeight="1">
      <c r="A547" s="55" t="s">
        <v>8</v>
      </c>
      <c r="B547" s="55" t="s">
        <v>9</v>
      </c>
      <c r="C547" s="55" t="s">
        <v>10</v>
      </c>
      <c r="D547" s="56" t="s">
        <v>11</v>
      </c>
      <c r="E547" s="57" t="s">
        <v>12</v>
      </c>
      <c r="F547" s="117" t="s">
        <v>11</v>
      </c>
      <c r="G547" s="104"/>
      <c r="H547" s="102"/>
      <c r="I547" s="58" t="s">
        <v>13</v>
      </c>
      <c r="J547" s="59" t="s">
        <v>14</v>
      </c>
      <c r="K547" s="60" t="s">
        <v>13</v>
      </c>
      <c r="L547" s="59" t="s">
        <v>14</v>
      </c>
      <c r="M547" s="61"/>
      <c r="N547" s="61"/>
      <c r="O547" s="112" t="s">
        <v>15</v>
      </c>
      <c r="P547" s="113"/>
      <c r="Q547" s="113"/>
      <c r="R547" s="114"/>
    </row>
    <row r="548" spans="1:18" ht="14.25" customHeight="1">
      <c r="A548" s="62">
        <v>42370</v>
      </c>
      <c r="B548" s="63">
        <v>1</v>
      </c>
      <c r="C548" s="64"/>
      <c r="D548" s="65"/>
      <c r="E548" s="65"/>
      <c r="F548" s="118"/>
      <c r="G548" s="119"/>
      <c r="H548" s="109"/>
      <c r="I548" s="66" t="str">
        <f t="shared" ref="I548:I572" si="68">IF(C548="L",IF(F548-D548&gt;0,F548-D548," "),IF(D548-F548&gt;0,D548-F548," "))</f>
        <v xml:space="preserve"> </v>
      </c>
      <c r="J548" s="67" t="str">
        <f t="shared" ref="J548:J572" si="69">IF(C548="L",IF(F548-D548&gt;0,(F548-D548)*200*E548," "),IF(D548-F548&gt;0,(D548-F548)*200*E548," "))</f>
        <v xml:space="preserve"> </v>
      </c>
      <c r="K548" s="68" t="str">
        <f t="shared" ref="K548:K572" si="70">IF(C548="L",IF(F548-D548&lt;0,F548-D548," "),IF(D548-F548&lt;0,D548-F548," "))</f>
        <v xml:space="preserve"> </v>
      </c>
      <c r="L548" s="67" t="str">
        <f t="shared" ref="L548:L572" si="71">IF(C548="L",IF(F548-D548&lt;0,(F548-D548)*200*E548," "),IF(D548-F548&lt;0,(D548-F548)*200*E548," "))</f>
        <v xml:space="preserve"> </v>
      </c>
      <c r="M548" s="61"/>
      <c r="N548" s="61"/>
      <c r="O548" s="22" t="s">
        <v>19</v>
      </c>
      <c r="P548" s="23">
        <f>B573+C573</f>
        <v>0</v>
      </c>
      <c r="Q548" s="115"/>
      <c r="R548" s="116"/>
    </row>
    <row r="549" spans="1:18" ht="14.25" customHeight="1">
      <c r="A549" s="63"/>
      <c r="B549" s="63">
        <v>2</v>
      </c>
      <c r="C549" s="64"/>
      <c r="D549" s="65"/>
      <c r="E549" s="65"/>
      <c r="F549" s="93"/>
      <c r="G549" s="94"/>
      <c r="H549" s="95"/>
      <c r="I549" s="66" t="str">
        <f t="shared" si="68"/>
        <v xml:space="preserve"> </v>
      </c>
      <c r="J549" s="67" t="str">
        <f t="shared" si="69"/>
        <v xml:space="preserve"> </v>
      </c>
      <c r="K549" s="68" t="str">
        <f t="shared" si="70"/>
        <v xml:space="preserve"> </v>
      </c>
      <c r="L549" s="67" t="str">
        <f t="shared" si="71"/>
        <v xml:space="preserve"> </v>
      </c>
      <c r="M549" s="61"/>
      <c r="N549" s="61"/>
      <c r="O549" s="70" t="s">
        <v>20</v>
      </c>
      <c r="P549" s="71" t="e">
        <f>B573/P548*100</f>
        <v>#DIV/0!</v>
      </c>
      <c r="Q549" s="72" t="s">
        <v>21</v>
      </c>
      <c r="R549" s="73" t="e">
        <f>C573/P548*100</f>
        <v>#DIV/0!</v>
      </c>
    </row>
    <row r="550" spans="1:18" ht="14.25" customHeight="1">
      <c r="A550" s="63"/>
      <c r="B550" s="63">
        <v>3</v>
      </c>
      <c r="C550" s="64"/>
      <c r="D550" s="65"/>
      <c r="E550" s="65"/>
      <c r="F550" s="93"/>
      <c r="G550" s="94"/>
      <c r="H550" s="95"/>
      <c r="I550" s="66" t="str">
        <f t="shared" si="68"/>
        <v xml:space="preserve"> </v>
      </c>
      <c r="J550" s="67" t="str">
        <f t="shared" si="69"/>
        <v xml:space="preserve"> </v>
      </c>
      <c r="K550" s="68" t="str">
        <f t="shared" si="70"/>
        <v xml:space="preserve"> </v>
      </c>
      <c r="L550" s="67" t="str">
        <f t="shared" si="71"/>
        <v xml:space="preserve"> </v>
      </c>
      <c r="M550" s="61"/>
      <c r="N550" s="61"/>
      <c r="O550" s="70" t="s">
        <v>22</v>
      </c>
      <c r="P550" s="74" t="e">
        <f>SUM(I548:I572)/B573</f>
        <v>#DIV/0!</v>
      </c>
      <c r="Q550" s="72" t="s">
        <v>23</v>
      </c>
      <c r="R550" s="75" t="e">
        <f>SUM(K548:K572)/C573</f>
        <v>#DIV/0!</v>
      </c>
    </row>
    <row r="551" spans="1:18" ht="14.25" customHeight="1">
      <c r="A551" s="63"/>
      <c r="B551" s="63">
        <v>4</v>
      </c>
      <c r="C551" s="64"/>
      <c r="D551" s="65"/>
      <c r="E551" s="65"/>
      <c r="F551" s="93"/>
      <c r="G551" s="94"/>
      <c r="H551" s="95"/>
      <c r="I551" s="66" t="str">
        <f t="shared" si="68"/>
        <v xml:space="preserve"> </v>
      </c>
      <c r="J551" s="67" t="str">
        <f t="shared" si="69"/>
        <v xml:space="preserve"> </v>
      </c>
      <c r="K551" s="68" t="str">
        <f t="shared" si="70"/>
        <v xml:space="preserve"> </v>
      </c>
      <c r="L551" s="67" t="str">
        <f t="shared" si="71"/>
        <v xml:space="preserve"> </v>
      </c>
      <c r="M551" s="61"/>
      <c r="N551" s="61"/>
      <c r="O551" s="76" t="s">
        <v>24</v>
      </c>
      <c r="P551" s="77">
        <f>SUM(J548:J572)</f>
        <v>0</v>
      </c>
      <c r="Q551" s="78" t="s">
        <v>25</v>
      </c>
      <c r="R551" s="79">
        <f>SUM(L548:L572)</f>
        <v>0</v>
      </c>
    </row>
    <row r="552" spans="1:18" ht="14.25" customHeight="1">
      <c r="A552" s="63"/>
      <c r="B552" s="63">
        <v>5</v>
      </c>
      <c r="C552" s="64"/>
      <c r="D552" s="65"/>
      <c r="E552" s="65"/>
      <c r="F552" s="93"/>
      <c r="G552" s="94"/>
      <c r="H552" s="95"/>
      <c r="I552" s="66" t="str">
        <f t="shared" si="68"/>
        <v xml:space="preserve"> </v>
      </c>
      <c r="J552" s="67" t="str">
        <f t="shared" si="69"/>
        <v xml:space="preserve"> </v>
      </c>
      <c r="K552" s="68" t="str">
        <f t="shared" si="70"/>
        <v xml:space="preserve"> </v>
      </c>
      <c r="L552" s="67" t="str">
        <f t="shared" si="71"/>
        <v xml:space="preserve"> </v>
      </c>
      <c r="M552" s="61"/>
      <c r="N552" s="61"/>
      <c r="O552" s="128" t="s">
        <v>26</v>
      </c>
      <c r="P552" s="119"/>
      <c r="Q552" s="119"/>
      <c r="R552" s="109"/>
    </row>
    <row r="553" spans="1:18" ht="14.25" customHeight="1">
      <c r="A553" s="63"/>
      <c r="B553" s="63">
        <v>6</v>
      </c>
      <c r="C553" s="64"/>
      <c r="D553" s="65"/>
      <c r="E553" s="65"/>
      <c r="F553" s="93"/>
      <c r="G553" s="94"/>
      <c r="H553" s="95"/>
      <c r="I553" s="66" t="str">
        <f t="shared" si="68"/>
        <v xml:space="preserve"> </v>
      </c>
      <c r="J553" s="67" t="str">
        <f t="shared" si="69"/>
        <v xml:space="preserve"> </v>
      </c>
      <c r="K553" s="68" t="str">
        <f t="shared" si="70"/>
        <v xml:space="preserve"> </v>
      </c>
      <c r="L553" s="67" t="str">
        <f t="shared" si="71"/>
        <v xml:space="preserve"> </v>
      </c>
      <c r="M553" s="61"/>
      <c r="N553" s="61"/>
      <c r="O553" s="129" t="s">
        <v>27</v>
      </c>
      <c r="P553" s="131">
        <f>P551+R551-K574</f>
        <v>0</v>
      </c>
      <c r="Q553" s="129" t="s">
        <v>28</v>
      </c>
      <c r="R553" s="133" t="e">
        <f>K574/P553</f>
        <v>#DIV/0!</v>
      </c>
    </row>
    <row r="554" spans="1:18" ht="14.25" customHeight="1">
      <c r="A554" s="63"/>
      <c r="B554" s="63">
        <v>7</v>
      </c>
      <c r="C554" s="64"/>
      <c r="D554" s="65"/>
      <c r="E554" s="65"/>
      <c r="F554" s="93"/>
      <c r="G554" s="94"/>
      <c r="H554" s="95"/>
      <c r="I554" s="66" t="str">
        <f t="shared" si="68"/>
        <v xml:space="preserve"> </v>
      </c>
      <c r="J554" s="67" t="str">
        <f t="shared" si="69"/>
        <v xml:space="preserve"> </v>
      </c>
      <c r="K554" s="68" t="str">
        <f t="shared" si="70"/>
        <v xml:space="preserve"> </v>
      </c>
      <c r="L554" s="67" t="str">
        <f t="shared" si="71"/>
        <v xml:space="preserve"> </v>
      </c>
      <c r="M554" s="61"/>
      <c r="N554" s="61"/>
      <c r="O554" s="130"/>
      <c r="P554" s="132"/>
      <c r="Q554" s="130"/>
      <c r="R554" s="132"/>
    </row>
    <row r="555" spans="1:18" ht="14.25" customHeight="1">
      <c r="A555" s="63"/>
      <c r="B555" s="63">
        <v>8</v>
      </c>
      <c r="C555" s="64"/>
      <c r="D555" s="65"/>
      <c r="E555" s="65"/>
      <c r="F555" s="93"/>
      <c r="G555" s="94"/>
      <c r="H555" s="95"/>
      <c r="I555" s="66" t="str">
        <f t="shared" si="68"/>
        <v xml:space="preserve"> </v>
      </c>
      <c r="J555" s="67" t="str">
        <f t="shared" si="69"/>
        <v xml:space="preserve"> </v>
      </c>
      <c r="K555" s="68" t="str">
        <f t="shared" si="70"/>
        <v xml:space="preserve"> </v>
      </c>
      <c r="L555" s="67" t="str">
        <f t="shared" si="71"/>
        <v xml:space="preserve"> </v>
      </c>
      <c r="M555" s="61"/>
      <c r="N555" s="61"/>
      <c r="O555" s="124" t="s">
        <v>29</v>
      </c>
      <c r="P555" s="125"/>
      <c r="Q555" s="100"/>
      <c r="R555" s="126" t="e">
        <f>IF(R551&lt;0,((P549*P550/100)+(R549*R550/100)),P550)</f>
        <v>#DIV/0!</v>
      </c>
    </row>
    <row r="556" spans="1:18" ht="14.25" customHeight="1">
      <c r="A556" s="63"/>
      <c r="B556" s="63">
        <v>9</v>
      </c>
      <c r="C556" s="64"/>
      <c r="D556" s="65"/>
      <c r="E556" s="65"/>
      <c r="F556" s="93"/>
      <c r="G556" s="94"/>
      <c r="H556" s="95"/>
      <c r="I556" s="66" t="str">
        <f t="shared" si="68"/>
        <v xml:space="preserve"> </v>
      </c>
      <c r="J556" s="67" t="str">
        <f t="shared" si="69"/>
        <v xml:space="preserve"> </v>
      </c>
      <c r="K556" s="68" t="str">
        <f t="shared" si="70"/>
        <v xml:space="preserve"> </v>
      </c>
      <c r="L556" s="67" t="str">
        <f t="shared" si="71"/>
        <v xml:space="preserve"> </v>
      </c>
      <c r="M556" s="61"/>
      <c r="N556" s="61"/>
      <c r="O556" s="101"/>
      <c r="P556" s="104"/>
      <c r="Q556" s="102"/>
      <c r="R556" s="127"/>
    </row>
    <row r="557" spans="1:18" ht="14.25" customHeight="1">
      <c r="A557" s="63"/>
      <c r="B557" s="63">
        <v>10</v>
      </c>
      <c r="C557" s="64"/>
      <c r="D557" s="65"/>
      <c r="E557" s="65"/>
      <c r="F557" s="93"/>
      <c r="G557" s="94"/>
      <c r="H557" s="95"/>
      <c r="I557" s="66" t="str">
        <f t="shared" si="68"/>
        <v xml:space="preserve"> </v>
      </c>
      <c r="J557" s="67" t="str">
        <f t="shared" si="69"/>
        <v xml:space="preserve"> </v>
      </c>
      <c r="K557" s="68" t="str">
        <f t="shared" si="70"/>
        <v xml:space="preserve"> </v>
      </c>
      <c r="L557" s="67" t="str">
        <f t="shared" si="71"/>
        <v xml:space="preserve"> </v>
      </c>
      <c r="M557" s="61"/>
      <c r="N557" s="61"/>
    </row>
    <row r="558" spans="1:18" ht="14.25" customHeight="1">
      <c r="A558" s="63"/>
      <c r="B558" s="63">
        <v>11</v>
      </c>
      <c r="C558" s="64"/>
      <c r="D558" s="65"/>
      <c r="E558" s="65"/>
      <c r="F558" s="93"/>
      <c r="G558" s="94"/>
      <c r="H558" s="95"/>
      <c r="I558" s="66" t="str">
        <f t="shared" si="68"/>
        <v xml:space="preserve"> </v>
      </c>
      <c r="J558" s="67" t="str">
        <f t="shared" si="69"/>
        <v xml:space="preserve"> </v>
      </c>
      <c r="K558" s="68" t="str">
        <f t="shared" si="70"/>
        <v xml:space="preserve"> </v>
      </c>
      <c r="L558" s="67" t="str">
        <f t="shared" si="71"/>
        <v xml:space="preserve"> </v>
      </c>
      <c r="M558" s="61"/>
      <c r="N558" s="61"/>
      <c r="O558" s="134" t="s">
        <v>30</v>
      </c>
      <c r="P558" s="107"/>
      <c r="Q558" s="97"/>
    </row>
    <row r="559" spans="1:18" ht="14.25" customHeight="1">
      <c r="A559" s="63"/>
      <c r="B559" s="63">
        <v>12</v>
      </c>
      <c r="C559" s="64"/>
      <c r="D559" s="65"/>
      <c r="E559" s="65"/>
      <c r="F559" s="93"/>
      <c r="G559" s="94"/>
      <c r="H559" s="95"/>
      <c r="I559" s="66" t="str">
        <f t="shared" si="68"/>
        <v xml:space="preserve"> </v>
      </c>
      <c r="J559" s="67" t="str">
        <f t="shared" si="69"/>
        <v xml:space="preserve"> </v>
      </c>
      <c r="K559" s="68" t="str">
        <f t="shared" si="70"/>
        <v xml:space="preserve"> </v>
      </c>
      <c r="L559" s="67" t="str">
        <f t="shared" si="71"/>
        <v xml:space="preserve"> </v>
      </c>
      <c r="M559" s="61"/>
      <c r="N559" s="61"/>
      <c r="O559" s="80" t="s">
        <v>31</v>
      </c>
      <c r="P559" s="135">
        <f>MAX(I548:I572)</f>
        <v>0</v>
      </c>
      <c r="Q559" s="95"/>
    </row>
    <row r="560" spans="1:18" ht="14.25" customHeight="1">
      <c r="A560" s="63"/>
      <c r="B560" s="63">
        <v>13</v>
      </c>
      <c r="C560" s="64"/>
      <c r="D560" s="65"/>
      <c r="E560" s="65"/>
      <c r="F560" s="93"/>
      <c r="G560" s="94"/>
      <c r="H560" s="95"/>
      <c r="I560" s="66" t="str">
        <f t="shared" si="68"/>
        <v xml:space="preserve"> </v>
      </c>
      <c r="J560" s="67" t="str">
        <f t="shared" si="69"/>
        <v xml:space="preserve"> </v>
      </c>
      <c r="K560" s="68" t="str">
        <f t="shared" si="70"/>
        <v xml:space="preserve"> </v>
      </c>
      <c r="L560" s="67" t="str">
        <f t="shared" si="71"/>
        <v xml:space="preserve"> </v>
      </c>
      <c r="M560" s="61"/>
      <c r="N560" s="61"/>
      <c r="O560" s="81" t="s">
        <v>32</v>
      </c>
      <c r="P560" s="123">
        <f>MAX(J548:J572)</f>
        <v>0</v>
      </c>
      <c r="Q560" s="95"/>
    </row>
    <row r="561" spans="1:17" ht="14.25" customHeight="1">
      <c r="A561" s="63"/>
      <c r="B561" s="63">
        <v>14</v>
      </c>
      <c r="C561" s="64"/>
      <c r="D561" s="65"/>
      <c r="E561" s="65"/>
      <c r="F561" s="93"/>
      <c r="G561" s="94"/>
      <c r="H561" s="95"/>
      <c r="I561" s="66" t="str">
        <f t="shared" si="68"/>
        <v xml:space="preserve"> </v>
      </c>
      <c r="J561" s="67" t="str">
        <f t="shared" si="69"/>
        <v xml:space="preserve"> </v>
      </c>
      <c r="K561" s="68" t="str">
        <f t="shared" si="70"/>
        <v xml:space="preserve"> </v>
      </c>
      <c r="L561" s="67" t="str">
        <f t="shared" si="71"/>
        <v xml:space="preserve"> </v>
      </c>
      <c r="M561" s="61"/>
      <c r="N561" s="61"/>
      <c r="O561" s="82" t="s">
        <v>33</v>
      </c>
      <c r="P561" s="120">
        <f>MIN(K548:K572)</f>
        <v>0</v>
      </c>
      <c r="Q561" s="95"/>
    </row>
    <row r="562" spans="1:17" ht="14.25" customHeight="1">
      <c r="A562" s="63"/>
      <c r="B562" s="63">
        <v>15</v>
      </c>
      <c r="C562" s="64"/>
      <c r="D562" s="65"/>
      <c r="E562" s="65"/>
      <c r="F562" s="93"/>
      <c r="G562" s="94"/>
      <c r="H562" s="95"/>
      <c r="I562" s="66" t="str">
        <f t="shared" si="68"/>
        <v xml:space="preserve"> </v>
      </c>
      <c r="J562" s="67" t="str">
        <f t="shared" si="69"/>
        <v xml:space="preserve"> </v>
      </c>
      <c r="K562" s="68" t="str">
        <f t="shared" si="70"/>
        <v xml:space="preserve"> </v>
      </c>
      <c r="L562" s="67" t="str">
        <f t="shared" si="71"/>
        <v xml:space="preserve"> </v>
      </c>
      <c r="M562" s="61"/>
      <c r="N562" s="61"/>
      <c r="O562" s="83" t="s">
        <v>34</v>
      </c>
      <c r="P562" s="121">
        <f>MIN(L548:L572)</f>
        <v>0</v>
      </c>
      <c r="Q562" s="122"/>
    </row>
    <row r="563" spans="1:17" ht="14.25" customHeight="1">
      <c r="A563" s="63"/>
      <c r="B563" s="63">
        <v>16</v>
      </c>
      <c r="C563" s="64"/>
      <c r="D563" s="65"/>
      <c r="E563" s="65"/>
      <c r="F563" s="93"/>
      <c r="G563" s="94"/>
      <c r="H563" s="95"/>
      <c r="I563" s="66" t="str">
        <f t="shared" si="68"/>
        <v xml:space="preserve"> </v>
      </c>
      <c r="J563" s="67" t="str">
        <f t="shared" si="69"/>
        <v xml:space="preserve"> </v>
      </c>
      <c r="K563" s="68" t="str">
        <f t="shared" si="70"/>
        <v xml:space="preserve"> </v>
      </c>
      <c r="L563" s="67" t="str">
        <f t="shared" si="71"/>
        <v xml:space="preserve"> </v>
      </c>
      <c r="M563" s="61"/>
      <c r="N563" s="61"/>
      <c r="O563" s="61"/>
    </row>
    <row r="564" spans="1:17" ht="14.25" customHeight="1">
      <c r="A564" s="63"/>
      <c r="B564" s="63">
        <v>17</v>
      </c>
      <c r="C564" s="64"/>
      <c r="D564" s="65"/>
      <c r="E564" s="65"/>
      <c r="F564" s="93"/>
      <c r="G564" s="94"/>
      <c r="H564" s="95"/>
      <c r="I564" s="66" t="str">
        <f t="shared" si="68"/>
        <v xml:space="preserve"> </v>
      </c>
      <c r="J564" s="67" t="str">
        <f t="shared" si="69"/>
        <v xml:space="preserve"> </v>
      </c>
      <c r="K564" s="68" t="str">
        <f t="shared" si="70"/>
        <v xml:space="preserve"> </v>
      </c>
      <c r="L564" s="67" t="str">
        <f t="shared" si="71"/>
        <v xml:space="preserve"> </v>
      </c>
      <c r="M564" s="61"/>
      <c r="N564" s="61"/>
      <c r="O564" s="61"/>
    </row>
    <row r="565" spans="1:17" ht="14.25" customHeight="1">
      <c r="A565" s="63"/>
      <c r="B565" s="63">
        <v>18</v>
      </c>
      <c r="C565" s="64"/>
      <c r="D565" s="65"/>
      <c r="E565" s="65"/>
      <c r="F565" s="93"/>
      <c r="G565" s="94"/>
      <c r="H565" s="95"/>
      <c r="I565" s="66" t="str">
        <f t="shared" si="68"/>
        <v xml:space="preserve"> </v>
      </c>
      <c r="J565" s="67" t="str">
        <f t="shared" si="69"/>
        <v xml:space="preserve"> </v>
      </c>
      <c r="K565" s="68" t="str">
        <f t="shared" si="70"/>
        <v xml:space="preserve"> </v>
      </c>
      <c r="L565" s="67" t="str">
        <f t="shared" si="71"/>
        <v xml:space="preserve"> </v>
      </c>
      <c r="M565" s="61"/>
      <c r="N565" s="61"/>
      <c r="O565" s="61"/>
    </row>
    <row r="566" spans="1:17" ht="14.25" customHeight="1">
      <c r="A566" s="63"/>
      <c r="B566" s="63">
        <v>19</v>
      </c>
      <c r="C566" s="64"/>
      <c r="D566" s="65"/>
      <c r="E566" s="65"/>
      <c r="F566" s="93"/>
      <c r="G566" s="94"/>
      <c r="H566" s="95"/>
      <c r="I566" s="66" t="str">
        <f t="shared" si="68"/>
        <v xml:space="preserve"> </v>
      </c>
      <c r="J566" s="67" t="str">
        <f t="shared" si="69"/>
        <v xml:space="preserve"> </v>
      </c>
      <c r="K566" s="68" t="str">
        <f t="shared" si="70"/>
        <v xml:space="preserve"> </v>
      </c>
      <c r="L566" s="67" t="str">
        <f t="shared" si="71"/>
        <v xml:space="preserve"> </v>
      </c>
      <c r="M566" s="61"/>
      <c r="N566" s="61"/>
      <c r="O566" s="61"/>
    </row>
    <row r="567" spans="1:17" ht="14.25" customHeight="1">
      <c r="A567" s="63"/>
      <c r="B567" s="63">
        <v>20</v>
      </c>
      <c r="C567" s="64"/>
      <c r="D567" s="65"/>
      <c r="E567" s="65"/>
      <c r="F567" s="93"/>
      <c r="G567" s="94"/>
      <c r="H567" s="95"/>
      <c r="I567" s="66" t="str">
        <f t="shared" si="68"/>
        <v xml:space="preserve"> </v>
      </c>
      <c r="J567" s="67" t="str">
        <f t="shared" si="69"/>
        <v xml:space="preserve"> </v>
      </c>
      <c r="K567" s="68" t="str">
        <f t="shared" si="70"/>
        <v xml:space="preserve"> </v>
      </c>
      <c r="L567" s="67" t="str">
        <f t="shared" si="71"/>
        <v xml:space="preserve"> </v>
      </c>
      <c r="M567" s="61"/>
      <c r="N567" s="61"/>
      <c r="O567" s="61"/>
    </row>
    <row r="568" spans="1:17" ht="14.25" customHeight="1">
      <c r="A568" s="63"/>
      <c r="B568" s="63">
        <v>21</v>
      </c>
      <c r="C568" s="64"/>
      <c r="D568" s="65"/>
      <c r="E568" s="65"/>
      <c r="F568" s="93"/>
      <c r="G568" s="94"/>
      <c r="H568" s="95"/>
      <c r="I568" s="66" t="str">
        <f t="shared" si="68"/>
        <v xml:space="preserve"> </v>
      </c>
      <c r="J568" s="67" t="str">
        <f t="shared" si="69"/>
        <v xml:space="preserve"> </v>
      </c>
      <c r="K568" s="68" t="str">
        <f t="shared" si="70"/>
        <v xml:space="preserve"> </v>
      </c>
      <c r="L568" s="67" t="str">
        <f t="shared" si="71"/>
        <v xml:space="preserve"> </v>
      </c>
      <c r="M568" s="61"/>
      <c r="N568" s="61"/>
      <c r="O568" s="61"/>
    </row>
    <row r="569" spans="1:17" ht="14.25" customHeight="1">
      <c r="A569" s="63"/>
      <c r="B569" s="63">
        <v>22</v>
      </c>
      <c r="C569" s="64"/>
      <c r="D569" s="65"/>
      <c r="E569" s="65"/>
      <c r="F569" s="93"/>
      <c r="G569" s="94"/>
      <c r="H569" s="95"/>
      <c r="I569" s="66" t="str">
        <f t="shared" si="68"/>
        <v xml:space="preserve"> </v>
      </c>
      <c r="J569" s="67" t="str">
        <f t="shared" si="69"/>
        <v xml:space="preserve"> </v>
      </c>
      <c r="K569" s="68" t="str">
        <f t="shared" si="70"/>
        <v xml:space="preserve"> </v>
      </c>
      <c r="L569" s="67" t="str">
        <f t="shared" si="71"/>
        <v xml:space="preserve"> </v>
      </c>
      <c r="M569" s="61"/>
      <c r="N569" s="61"/>
      <c r="O569" s="61"/>
    </row>
    <row r="570" spans="1:17" ht="14.25" customHeight="1">
      <c r="A570" s="63"/>
      <c r="B570" s="63">
        <v>23</v>
      </c>
      <c r="C570" s="64"/>
      <c r="D570" s="65"/>
      <c r="E570" s="65"/>
      <c r="F570" s="93"/>
      <c r="G570" s="94"/>
      <c r="H570" s="95"/>
      <c r="I570" s="66" t="str">
        <f t="shared" si="68"/>
        <v xml:space="preserve"> </v>
      </c>
      <c r="J570" s="67" t="str">
        <f t="shared" si="69"/>
        <v xml:space="preserve"> </v>
      </c>
      <c r="K570" s="68" t="str">
        <f t="shared" si="70"/>
        <v xml:space="preserve"> </v>
      </c>
      <c r="L570" s="67" t="str">
        <f t="shared" si="71"/>
        <v xml:space="preserve"> </v>
      </c>
      <c r="M570" s="61"/>
      <c r="N570" s="61"/>
      <c r="O570" s="61"/>
    </row>
    <row r="571" spans="1:17" ht="14.25" customHeight="1">
      <c r="A571" s="63"/>
      <c r="B571" s="63">
        <v>24</v>
      </c>
      <c r="C571" s="64"/>
      <c r="D571" s="65"/>
      <c r="E571" s="65"/>
      <c r="F571" s="93"/>
      <c r="G571" s="94"/>
      <c r="H571" s="95"/>
      <c r="I571" s="66" t="str">
        <f t="shared" si="68"/>
        <v xml:space="preserve"> </v>
      </c>
      <c r="J571" s="67" t="str">
        <f t="shared" si="69"/>
        <v xml:space="preserve"> </v>
      </c>
      <c r="K571" s="68" t="str">
        <f t="shared" si="70"/>
        <v xml:space="preserve"> </v>
      </c>
      <c r="L571" s="67" t="str">
        <f t="shared" si="71"/>
        <v xml:space="preserve"> </v>
      </c>
      <c r="M571" s="61"/>
      <c r="N571" s="61"/>
      <c r="O571" s="61"/>
    </row>
    <row r="572" spans="1:17" ht="14.25" customHeight="1">
      <c r="A572" s="63"/>
      <c r="B572" s="63">
        <v>25</v>
      </c>
      <c r="C572" s="87"/>
      <c r="D572" s="65"/>
      <c r="E572" s="65"/>
      <c r="F572" s="93"/>
      <c r="G572" s="94"/>
      <c r="H572" s="95"/>
      <c r="I572" s="66" t="str">
        <f t="shared" si="68"/>
        <v xml:space="preserve"> </v>
      </c>
      <c r="J572" s="67" t="str">
        <f t="shared" si="69"/>
        <v xml:space="preserve"> </v>
      </c>
      <c r="K572" s="68" t="str">
        <f t="shared" si="70"/>
        <v xml:space="preserve"> </v>
      </c>
      <c r="L572" s="67" t="str">
        <f t="shared" si="71"/>
        <v xml:space="preserve"> </v>
      </c>
      <c r="M572" s="61"/>
      <c r="N572" s="61"/>
      <c r="O572" s="61"/>
    </row>
    <row r="573" spans="1:17" ht="14.25" customHeight="1">
      <c r="A573" s="99" t="s">
        <v>35</v>
      </c>
      <c r="B573" s="84">
        <f>COUNT(I548:I572)</f>
        <v>0</v>
      </c>
      <c r="C573" s="84">
        <f>COUNT(K548:K572)</f>
        <v>0</v>
      </c>
      <c r="D573" s="84">
        <f>SUM(E548:E572)*2</f>
        <v>0</v>
      </c>
      <c r="E573" s="84"/>
      <c r="F573" s="84"/>
      <c r="G573" s="84"/>
      <c r="H573" s="84"/>
      <c r="I573" s="96" t="s">
        <v>36</v>
      </c>
      <c r="J573" s="97"/>
      <c r="K573" s="98" t="s">
        <v>37</v>
      </c>
      <c r="L573" s="97"/>
      <c r="M573" s="61"/>
      <c r="N573" s="61"/>
      <c r="O573" s="61"/>
    </row>
    <row r="574" spans="1:17" ht="14.25" customHeight="1">
      <c r="A574" s="105"/>
      <c r="B574" s="85"/>
      <c r="C574" s="85"/>
      <c r="D574" s="85"/>
      <c r="E574" s="85"/>
      <c r="F574" s="85"/>
      <c r="G574" s="85"/>
      <c r="H574" s="85"/>
      <c r="I574" s="99">
        <f>I542</f>
        <v>15</v>
      </c>
      <c r="J574" s="100"/>
      <c r="K574" s="103">
        <f>I574*D573*1.07</f>
        <v>0</v>
      </c>
      <c r="L574" s="100"/>
    </row>
    <row r="575" spans="1:17" ht="15.75" customHeight="1">
      <c r="A575" s="101"/>
      <c r="B575" s="86"/>
      <c r="C575" s="86"/>
      <c r="D575" s="86"/>
      <c r="E575" s="86"/>
      <c r="F575" s="86"/>
      <c r="G575" s="86"/>
      <c r="H575" s="86"/>
      <c r="I575" s="101"/>
      <c r="J575" s="102"/>
      <c r="K575" s="104"/>
      <c r="L575" s="102"/>
    </row>
    <row r="576" spans="1:17" ht="14.25" customHeight="1"/>
    <row r="577" spans="1:18" ht="14.25" customHeight="1"/>
    <row r="578" spans="1:18" ht="14.25" customHeight="1">
      <c r="A578" s="106" t="s">
        <v>2</v>
      </c>
      <c r="B578" s="107"/>
      <c r="C578" s="107"/>
      <c r="D578" s="107"/>
      <c r="E578" s="97"/>
      <c r="F578" s="106" t="s">
        <v>3</v>
      </c>
      <c r="G578" s="107"/>
      <c r="H578" s="97"/>
      <c r="I578" s="108" t="s">
        <v>4</v>
      </c>
      <c r="J578" s="109"/>
      <c r="K578" s="110" t="s">
        <v>5</v>
      </c>
      <c r="L578" s="109"/>
      <c r="O578" s="111" t="s">
        <v>7</v>
      </c>
      <c r="P578" s="107"/>
      <c r="Q578" s="107"/>
      <c r="R578" s="97"/>
    </row>
    <row r="579" spans="1:18" ht="14.25" customHeight="1">
      <c r="A579" s="55" t="s">
        <v>8</v>
      </c>
      <c r="B579" s="55" t="s">
        <v>9</v>
      </c>
      <c r="C579" s="55" t="s">
        <v>10</v>
      </c>
      <c r="D579" s="56" t="s">
        <v>11</v>
      </c>
      <c r="E579" s="57" t="s">
        <v>12</v>
      </c>
      <c r="F579" s="117" t="s">
        <v>11</v>
      </c>
      <c r="G579" s="104"/>
      <c r="H579" s="102"/>
      <c r="I579" s="58" t="s">
        <v>13</v>
      </c>
      <c r="J579" s="59" t="s">
        <v>14</v>
      </c>
      <c r="K579" s="60" t="s">
        <v>13</v>
      </c>
      <c r="L579" s="59" t="s">
        <v>14</v>
      </c>
      <c r="M579" s="61"/>
      <c r="N579" s="61"/>
      <c r="O579" s="112" t="s">
        <v>15</v>
      </c>
      <c r="P579" s="113"/>
      <c r="Q579" s="113"/>
      <c r="R579" s="114"/>
    </row>
    <row r="580" spans="1:18" ht="14.25" customHeight="1">
      <c r="A580" s="62">
        <v>42370</v>
      </c>
      <c r="B580" s="63">
        <v>1</v>
      </c>
      <c r="C580" s="64"/>
      <c r="D580" s="65"/>
      <c r="E580" s="65"/>
      <c r="F580" s="118"/>
      <c r="G580" s="119"/>
      <c r="H580" s="109"/>
      <c r="I580" s="66" t="str">
        <f t="shared" ref="I580:I604" si="72">IF(C580="L",IF(F580-D580&gt;0,F580-D580," "),IF(D580-F580&gt;0,D580-F580," "))</f>
        <v xml:space="preserve"> </v>
      </c>
      <c r="J580" s="67" t="str">
        <f t="shared" ref="J580:J604" si="73">IF(C580="L",IF(F580-D580&gt;0,(F580-D580)*200*E580," "),IF(D580-F580&gt;0,(D580-F580)*200*E580," "))</f>
        <v xml:space="preserve"> </v>
      </c>
      <c r="K580" s="68" t="str">
        <f t="shared" ref="K580:K604" si="74">IF(C580="L",IF(F580-D580&lt;0,F580-D580," "),IF(D580-F580&lt;0,D580-F580," "))</f>
        <v xml:space="preserve"> </v>
      </c>
      <c r="L580" s="67" t="str">
        <f t="shared" ref="L580:L604" si="75">IF(C580="L",IF(F580-D580&lt;0,(F580-D580)*200*E580," "),IF(D580-F580&lt;0,(D580-F580)*200*E580," "))</f>
        <v xml:space="preserve"> </v>
      </c>
      <c r="M580" s="61"/>
      <c r="N580" s="61"/>
      <c r="O580" s="22" t="s">
        <v>19</v>
      </c>
      <c r="P580" s="23">
        <f>B605+C605</f>
        <v>0</v>
      </c>
      <c r="Q580" s="115"/>
      <c r="R580" s="116"/>
    </row>
    <row r="581" spans="1:18" ht="14.25" customHeight="1">
      <c r="A581" s="63"/>
      <c r="B581" s="63">
        <v>2</v>
      </c>
      <c r="C581" s="64"/>
      <c r="D581" s="65"/>
      <c r="E581" s="65"/>
      <c r="F581" s="93"/>
      <c r="G581" s="94"/>
      <c r="H581" s="95"/>
      <c r="I581" s="66" t="str">
        <f t="shared" si="72"/>
        <v xml:space="preserve"> </v>
      </c>
      <c r="J581" s="67" t="str">
        <f t="shared" si="73"/>
        <v xml:space="preserve"> </v>
      </c>
      <c r="K581" s="68" t="str">
        <f t="shared" si="74"/>
        <v xml:space="preserve"> </v>
      </c>
      <c r="L581" s="67" t="str">
        <f t="shared" si="75"/>
        <v xml:space="preserve"> </v>
      </c>
      <c r="M581" s="61"/>
      <c r="N581" s="61"/>
      <c r="O581" s="70" t="s">
        <v>20</v>
      </c>
      <c r="P581" s="71" t="e">
        <f>B605/P580*100</f>
        <v>#DIV/0!</v>
      </c>
      <c r="Q581" s="72" t="s">
        <v>21</v>
      </c>
      <c r="R581" s="73" t="e">
        <f>C605/P580*100</f>
        <v>#DIV/0!</v>
      </c>
    </row>
    <row r="582" spans="1:18" ht="14.25" customHeight="1">
      <c r="A582" s="63"/>
      <c r="B582" s="63">
        <v>3</v>
      </c>
      <c r="C582" s="64"/>
      <c r="D582" s="65"/>
      <c r="E582" s="65"/>
      <c r="F582" s="93"/>
      <c r="G582" s="94"/>
      <c r="H582" s="95"/>
      <c r="I582" s="66" t="str">
        <f t="shared" si="72"/>
        <v xml:space="preserve"> </v>
      </c>
      <c r="J582" s="67" t="str">
        <f t="shared" si="73"/>
        <v xml:space="preserve"> </v>
      </c>
      <c r="K582" s="68" t="str">
        <f t="shared" si="74"/>
        <v xml:space="preserve"> </v>
      </c>
      <c r="L582" s="67" t="str">
        <f t="shared" si="75"/>
        <v xml:space="preserve"> </v>
      </c>
      <c r="M582" s="61"/>
      <c r="N582" s="61"/>
      <c r="O582" s="70" t="s">
        <v>22</v>
      </c>
      <c r="P582" s="74" t="e">
        <f>SUM(I580:I604)/B605</f>
        <v>#DIV/0!</v>
      </c>
      <c r="Q582" s="72" t="s">
        <v>23</v>
      </c>
      <c r="R582" s="75" t="e">
        <f>SUM(K580:K604)/C605</f>
        <v>#DIV/0!</v>
      </c>
    </row>
    <row r="583" spans="1:18" ht="14.25" customHeight="1">
      <c r="A583" s="63"/>
      <c r="B583" s="63">
        <v>4</v>
      </c>
      <c r="C583" s="64"/>
      <c r="D583" s="65"/>
      <c r="E583" s="65"/>
      <c r="F583" s="93"/>
      <c r="G583" s="94"/>
      <c r="H583" s="95"/>
      <c r="I583" s="66" t="str">
        <f t="shared" si="72"/>
        <v xml:space="preserve"> </v>
      </c>
      <c r="J583" s="67" t="str">
        <f t="shared" si="73"/>
        <v xml:space="preserve"> </v>
      </c>
      <c r="K583" s="68" t="str">
        <f t="shared" si="74"/>
        <v xml:space="preserve"> </v>
      </c>
      <c r="L583" s="67" t="str">
        <f t="shared" si="75"/>
        <v xml:space="preserve"> </v>
      </c>
      <c r="M583" s="61"/>
      <c r="N583" s="61"/>
      <c r="O583" s="76" t="s">
        <v>24</v>
      </c>
      <c r="P583" s="77">
        <f>SUM(J580:J604)</f>
        <v>0</v>
      </c>
      <c r="Q583" s="78" t="s">
        <v>25</v>
      </c>
      <c r="R583" s="79">
        <f>SUM(L580:L604)</f>
        <v>0</v>
      </c>
    </row>
    <row r="584" spans="1:18" ht="14.25" customHeight="1">
      <c r="A584" s="63"/>
      <c r="B584" s="63">
        <v>5</v>
      </c>
      <c r="C584" s="64"/>
      <c r="D584" s="65"/>
      <c r="E584" s="65"/>
      <c r="F584" s="93"/>
      <c r="G584" s="94"/>
      <c r="H584" s="95"/>
      <c r="I584" s="66" t="str">
        <f t="shared" si="72"/>
        <v xml:space="preserve"> </v>
      </c>
      <c r="J584" s="67" t="str">
        <f t="shared" si="73"/>
        <v xml:space="preserve"> </v>
      </c>
      <c r="K584" s="68" t="str">
        <f t="shared" si="74"/>
        <v xml:space="preserve"> </v>
      </c>
      <c r="L584" s="67" t="str">
        <f t="shared" si="75"/>
        <v xml:space="preserve"> </v>
      </c>
      <c r="M584" s="61"/>
      <c r="N584" s="61"/>
      <c r="O584" s="128" t="s">
        <v>26</v>
      </c>
      <c r="P584" s="119"/>
      <c r="Q584" s="119"/>
      <c r="R584" s="109"/>
    </row>
    <row r="585" spans="1:18" ht="14.25" customHeight="1">
      <c r="A585" s="63"/>
      <c r="B585" s="63">
        <v>6</v>
      </c>
      <c r="C585" s="64"/>
      <c r="D585" s="65"/>
      <c r="E585" s="65"/>
      <c r="F585" s="93"/>
      <c r="G585" s="94"/>
      <c r="H585" s="95"/>
      <c r="I585" s="66" t="str">
        <f t="shared" si="72"/>
        <v xml:space="preserve"> </v>
      </c>
      <c r="J585" s="67" t="str">
        <f t="shared" si="73"/>
        <v xml:space="preserve"> </v>
      </c>
      <c r="K585" s="68" t="str">
        <f t="shared" si="74"/>
        <v xml:space="preserve"> </v>
      </c>
      <c r="L585" s="67" t="str">
        <f t="shared" si="75"/>
        <v xml:space="preserve"> </v>
      </c>
      <c r="M585" s="61"/>
      <c r="N585" s="61"/>
      <c r="O585" s="129" t="s">
        <v>27</v>
      </c>
      <c r="P585" s="131">
        <f>P583+R583-K606</f>
        <v>0</v>
      </c>
      <c r="Q585" s="129" t="s">
        <v>28</v>
      </c>
      <c r="R585" s="133" t="e">
        <f>K606/P585</f>
        <v>#DIV/0!</v>
      </c>
    </row>
    <row r="586" spans="1:18" ht="14.25" customHeight="1">
      <c r="A586" s="63"/>
      <c r="B586" s="63">
        <v>7</v>
      </c>
      <c r="C586" s="64"/>
      <c r="D586" s="65"/>
      <c r="E586" s="65"/>
      <c r="F586" s="93"/>
      <c r="G586" s="94"/>
      <c r="H586" s="95"/>
      <c r="I586" s="66" t="str">
        <f t="shared" si="72"/>
        <v xml:space="preserve"> </v>
      </c>
      <c r="J586" s="67" t="str">
        <f t="shared" si="73"/>
        <v xml:space="preserve"> </v>
      </c>
      <c r="K586" s="68" t="str">
        <f t="shared" si="74"/>
        <v xml:space="preserve"> </v>
      </c>
      <c r="L586" s="67" t="str">
        <f t="shared" si="75"/>
        <v xml:space="preserve"> </v>
      </c>
      <c r="M586" s="61"/>
      <c r="N586" s="61"/>
      <c r="O586" s="130"/>
      <c r="P586" s="132"/>
      <c r="Q586" s="130"/>
      <c r="R586" s="132"/>
    </row>
    <row r="587" spans="1:18" ht="14.25" customHeight="1">
      <c r="A587" s="63"/>
      <c r="B587" s="63">
        <v>8</v>
      </c>
      <c r="C587" s="64"/>
      <c r="D587" s="65"/>
      <c r="E587" s="65"/>
      <c r="F587" s="93"/>
      <c r="G587" s="94"/>
      <c r="H587" s="95"/>
      <c r="I587" s="66" t="str">
        <f t="shared" si="72"/>
        <v xml:space="preserve"> </v>
      </c>
      <c r="J587" s="67" t="str">
        <f t="shared" si="73"/>
        <v xml:space="preserve"> </v>
      </c>
      <c r="K587" s="68" t="str">
        <f t="shared" si="74"/>
        <v xml:space="preserve"> </v>
      </c>
      <c r="L587" s="67" t="str">
        <f t="shared" si="75"/>
        <v xml:space="preserve"> </v>
      </c>
      <c r="M587" s="61"/>
      <c r="N587" s="61"/>
      <c r="O587" s="124" t="s">
        <v>29</v>
      </c>
      <c r="P587" s="125"/>
      <c r="Q587" s="100"/>
      <c r="R587" s="126" t="e">
        <f>IF(R583&lt;0,((P581*P582/100)+(R581*R582/100)),P582)</f>
        <v>#DIV/0!</v>
      </c>
    </row>
    <row r="588" spans="1:18" ht="14.25" customHeight="1">
      <c r="A588" s="63"/>
      <c r="B588" s="63">
        <v>9</v>
      </c>
      <c r="C588" s="64"/>
      <c r="D588" s="65"/>
      <c r="E588" s="65"/>
      <c r="F588" s="93"/>
      <c r="G588" s="94"/>
      <c r="H588" s="95"/>
      <c r="I588" s="66" t="str">
        <f t="shared" si="72"/>
        <v xml:space="preserve"> </v>
      </c>
      <c r="J588" s="67" t="str">
        <f t="shared" si="73"/>
        <v xml:space="preserve"> </v>
      </c>
      <c r="K588" s="68" t="str">
        <f t="shared" si="74"/>
        <v xml:space="preserve"> </v>
      </c>
      <c r="L588" s="67" t="str">
        <f t="shared" si="75"/>
        <v xml:space="preserve"> </v>
      </c>
      <c r="M588" s="61"/>
      <c r="N588" s="61"/>
      <c r="O588" s="101"/>
      <c r="P588" s="104"/>
      <c r="Q588" s="102"/>
      <c r="R588" s="127"/>
    </row>
    <row r="589" spans="1:18" ht="14.25" customHeight="1">
      <c r="A589" s="63"/>
      <c r="B589" s="63">
        <v>10</v>
      </c>
      <c r="C589" s="64"/>
      <c r="D589" s="65"/>
      <c r="E589" s="65"/>
      <c r="F589" s="93"/>
      <c r="G589" s="94"/>
      <c r="H589" s="95"/>
      <c r="I589" s="66" t="str">
        <f t="shared" si="72"/>
        <v xml:space="preserve"> </v>
      </c>
      <c r="J589" s="67" t="str">
        <f t="shared" si="73"/>
        <v xml:space="preserve"> </v>
      </c>
      <c r="K589" s="68" t="str">
        <f t="shared" si="74"/>
        <v xml:space="preserve"> </v>
      </c>
      <c r="L589" s="67" t="str">
        <f t="shared" si="75"/>
        <v xml:space="preserve"> </v>
      </c>
      <c r="M589" s="61"/>
      <c r="N589" s="61"/>
    </row>
    <row r="590" spans="1:18" ht="14.25" customHeight="1">
      <c r="A590" s="63"/>
      <c r="B590" s="63">
        <v>11</v>
      </c>
      <c r="C590" s="64"/>
      <c r="D590" s="65"/>
      <c r="E590" s="65"/>
      <c r="F590" s="93"/>
      <c r="G590" s="94"/>
      <c r="H590" s="95"/>
      <c r="I590" s="66" t="str">
        <f t="shared" si="72"/>
        <v xml:space="preserve"> </v>
      </c>
      <c r="J590" s="67" t="str">
        <f t="shared" si="73"/>
        <v xml:space="preserve"> </v>
      </c>
      <c r="K590" s="68" t="str">
        <f t="shared" si="74"/>
        <v xml:space="preserve"> </v>
      </c>
      <c r="L590" s="67" t="str">
        <f t="shared" si="75"/>
        <v xml:space="preserve"> </v>
      </c>
      <c r="M590" s="61"/>
      <c r="N590" s="61"/>
      <c r="O590" s="134" t="s">
        <v>30</v>
      </c>
      <c r="P590" s="107"/>
      <c r="Q590" s="97"/>
    </row>
    <row r="591" spans="1:18" ht="14.25" customHeight="1">
      <c r="A591" s="63"/>
      <c r="B591" s="63">
        <v>12</v>
      </c>
      <c r="C591" s="64"/>
      <c r="D591" s="65"/>
      <c r="E591" s="65"/>
      <c r="F591" s="93"/>
      <c r="G591" s="94"/>
      <c r="H591" s="95"/>
      <c r="I591" s="66" t="str">
        <f t="shared" si="72"/>
        <v xml:space="preserve"> </v>
      </c>
      <c r="J591" s="67" t="str">
        <f t="shared" si="73"/>
        <v xml:space="preserve"> </v>
      </c>
      <c r="K591" s="68" t="str">
        <f t="shared" si="74"/>
        <v xml:space="preserve"> </v>
      </c>
      <c r="L591" s="67" t="str">
        <f t="shared" si="75"/>
        <v xml:space="preserve"> </v>
      </c>
      <c r="M591" s="61"/>
      <c r="N591" s="61"/>
      <c r="O591" s="80" t="s">
        <v>31</v>
      </c>
      <c r="P591" s="135">
        <f>MAX(I580:I604)</f>
        <v>0</v>
      </c>
      <c r="Q591" s="95"/>
    </row>
    <row r="592" spans="1:18" ht="14.25" customHeight="1">
      <c r="A592" s="63"/>
      <c r="B592" s="63">
        <v>13</v>
      </c>
      <c r="C592" s="64"/>
      <c r="D592" s="65"/>
      <c r="E592" s="65"/>
      <c r="F592" s="93"/>
      <c r="G592" s="94"/>
      <c r="H592" s="95"/>
      <c r="I592" s="66" t="str">
        <f t="shared" si="72"/>
        <v xml:space="preserve"> </v>
      </c>
      <c r="J592" s="67" t="str">
        <f t="shared" si="73"/>
        <v xml:space="preserve"> </v>
      </c>
      <c r="K592" s="68" t="str">
        <f t="shared" si="74"/>
        <v xml:space="preserve"> </v>
      </c>
      <c r="L592" s="67" t="str">
        <f t="shared" si="75"/>
        <v xml:space="preserve"> </v>
      </c>
      <c r="M592" s="61"/>
      <c r="N592" s="61"/>
      <c r="O592" s="81" t="s">
        <v>32</v>
      </c>
      <c r="P592" s="123">
        <f>MAX(J580:J604)</f>
        <v>0</v>
      </c>
      <c r="Q592" s="95"/>
    </row>
    <row r="593" spans="1:17" ht="14.25" customHeight="1">
      <c r="A593" s="63"/>
      <c r="B593" s="63">
        <v>14</v>
      </c>
      <c r="C593" s="64"/>
      <c r="D593" s="65"/>
      <c r="E593" s="65"/>
      <c r="F593" s="93"/>
      <c r="G593" s="94"/>
      <c r="H593" s="95"/>
      <c r="I593" s="66" t="str">
        <f t="shared" si="72"/>
        <v xml:space="preserve"> </v>
      </c>
      <c r="J593" s="67" t="str">
        <f t="shared" si="73"/>
        <v xml:space="preserve"> </v>
      </c>
      <c r="K593" s="68" t="str">
        <f t="shared" si="74"/>
        <v xml:space="preserve"> </v>
      </c>
      <c r="L593" s="67" t="str">
        <f t="shared" si="75"/>
        <v xml:space="preserve"> </v>
      </c>
      <c r="M593" s="61"/>
      <c r="N593" s="61"/>
      <c r="O593" s="82" t="s">
        <v>33</v>
      </c>
      <c r="P593" s="120">
        <f>MIN(K580:K604)</f>
        <v>0</v>
      </c>
      <c r="Q593" s="95"/>
    </row>
    <row r="594" spans="1:17" ht="14.25" customHeight="1">
      <c r="A594" s="63"/>
      <c r="B594" s="63">
        <v>15</v>
      </c>
      <c r="C594" s="64"/>
      <c r="D594" s="65"/>
      <c r="E594" s="65"/>
      <c r="F594" s="93"/>
      <c r="G594" s="94"/>
      <c r="H594" s="95"/>
      <c r="I594" s="66" t="str">
        <f t="shared" si="72"/>
        <v xml:space="preserve"> </v>
      </c>
      <c r="J594" s="67" t="str">
        <f t="shared" si="73"/>
        <v xml:space="preserve"> </v>
      </c>
      <c r="K594" s="68" t="str">
        <f t="shared" si="74"/>
        <v xml:space="preserve"> </v>
      </c>
      <c r="L594" s="67" t="str">
        <f t="shared" si="75"/>
        <v xml:space="preserve"> </v>
      </c>
      <c r="M594" s="61"/>
      <c r="N594" s="61"/>
      <c r="O594" s="83" t="s">
        <v>34</v>
      </c>
      <c r="P594" s="121">
        <f>MIN(L580:L604)</f>
        <v>0</v>
      </c>
      <c r="Q594" s="122"/>
    </row>
    <row r="595" spans="1:17" ht="14.25" customHeight="1">
      <c r="A595" s="63"/>
      <c r="B595" s="63">
        <v>16</v>
      </c>
      <c r="C595" s="64"/>
      <c r="D595" s="65"/>
      <c r="E595" s="65"/>
      <c r="F595" s="93"/>
      <c r="G595" s="94"/>
      <c r="H595" s="95"/>
      <c r="I595" s="66" t="str">
        <f t="shared" si="72"/>
        <v xml:space="preserve"> </v>
      </c>
      <c r="J595" s="67" t="str">
        <f t="shared" si="73"/>
        <v xml:space="preserve"> </v>
      </c>
      <c r="K595" s="68" t="str">
        <f t="shared" si="74"/>
        <v xml:space="preserve"> </v>
      </c>
      <c r="L595" s="67" t="str">
        <f t="shared" si="75"/>
        <v xml:space="preserve"> </v>
      </c>
      <c r="M595" s="61"/>
      <c r="N595" s="61"/>
      <c r="O595" s="61"/>
    </row>
    <row r="596" spans="1:17" ht="14.25" customHeight="1">
      <c r="A596" s="63"/>
      <c r="B596" s="63">
        <v>17</v>
      </c>
      <c r="C596" s="64"/>
      <c r="D596" s="65"/>
      <c r="E596" s="65"/>
      <c r="F596" s="93"/>
      <c r="G596" s="94"/>
      <c r="H596" s="95"/>
      <c r="I596" s="66" t="str">
        <f t="shared" si="72"/>
        <v xml:space="preserve"> </v>
      </c>
      <c r="J596" s="67" t="str">
        <f t="shared" si="73"/>
        <v xml:space="preserve"> </v>
      </c>
      <c r="K596" s="68" t="str">
        <f t="shared" si="74"/>
        <v xml:space="preserve"> </v>
      </c>
      <c r="L596" s="67" t="str">
        <f t="shared" si="75"/>
        <v xml:space="preserve"> </v>
      </c>
      <c r="M596" s="61"/>
      <c r="N596" s="61"/>
      <c r="O596" s="61"/>
    </row>
    <row r="597" spans="1:17" ht="14.25" customHeight="1">
      <c r="A597" s="63"/>
      <c r="B597" s="63">
        <v>18</v>
      </c>
      <c r="C597" s="64"/>
      <c r="D597" s="65"/>
      <c r="E597" s="65"/>
      <c r="F597" s="93"/>
      <c r="G597" s="94"/>
      <c r="H597" s="95"/>
      <c r="I597" s="66" t="str">
        <f t="shared" si="72"/>
        <v xml:space="preserve"> </v>
      </c>
      <c r="J597" s="67" t="str">
        <f t="shared" si="73"/>
        <v xml:space="preserve"> </v>
      </c>
      <c r="K597" s="68" t="str">
        <f t="shared" si="74"/>
        <v xml:space="preserve"> </v>
      </c>
      <c r="L597" s="67" t="str">
        <f t="shared" si="75"/>
        <v xml:space="preserve"> </v>
      </c>
      <c r="M597" s="61"/>
      <c r="N597" s="61"/>
      <c r="O597" s="61"/>
    </row>
    <row r="598" spans="1:17" ht="14.25" customHeight="1">
      <c r="A598" s="63"/>
      <c r="B598" s="63">
        <v>19</v>
      </c>
      <c r="C598" s="64"/>
      <c r="D598" s="65"/>
      <c r="E598" s="65"/>
      <c r="F598" s="93"/>
      <c r="G598" s="94"/>
      <c r="H598" s="95"/>
      <c r="I598" s="66" t="str">
        <f t="shared" si="72"/>
        <v xml:space="preserve"> </v>
      </c>
      <c r="J598" s="67" t="str">
        <f t="shared" si="73"/>
        <v xml:space="preserve"> </v>
      </c>
      <c r="K598" s="68" t="str">
        <f t="shared" si="74"/>
        <v xml:space="preserve"> </v>
      </c>
      <c r="L598" s="67" t="str">
        <f t="shared" si="75"/>
        <v xml:space="preserve"> </v>
      </c>
      <c r="M598" s="61"/>
      <c r="N598" s="61"/>
      <c r="O598" s="61"/>
    </row>
    <row r="599" spans="1:17" ht="14.25" customHeight="1">
      <c r="A599" s="63"/>
      <c r="B599" s="63">
        <v>20</v>
      </c>
      <c r="C599" s="64"/>
      <c r="D599" s="65"/>
      <c r="E599" s="65"/>
      <c r="F599" s="93"/>
      <c r="G599" s="94"/>
      <c r="H599" s="95"/>
      <c r="I599" s="66" t="str">
        <f t="shared" si="72"/>
        <v xml:space="preserve"> </v>
      </c>
      <c r="J599" s="67" t="str">
        <f t="shared" si="73"/>
        <v xml:space="preserve"> </v>
      </c>
      <c r="K599" s="68" t="str">
        <f t="shared" si="74"/>
        <v xml:space="preserve"> </v>
      </c>
      <c r="L599" s="67" t="str">
        <f t="shared" si="75"/>
        <v xml:space="preserve"> </v>
      </c>
      <c r="M599" s="61"/>
      <c r="N599" s="61"/>
      <c r="O599" s="61"/>
    </row>
    <row r="600" spans="1:17" ht="14.25" customHeight="1">
      <c r="A600" s="63"/>
      <c r="B600" s="63">
        <v>21</v>
      </c>
      <c r="C600" s="64"/>
      <c r="D600" s="65"/>
      <c r="E600" s="65"/>
      <c r="F600" s="93"/>
      <c r="G600" s="94"/>
      <c r="H600" s="95"/>
      <c r="I600" s="66" t="str">
        <f t="shared" si="72"/>
        <v xml:space="preserve"> </v>
      </c>
      <c r="J600" s="67" t="str">
        <f t="shared" si="73"/>
        <v xml:space="preserve"> </v>
      </c>
      <c r="K600" s="68" t="str">
        <f t="shared" si="74"/>
        <v xml:space="preserve"> </v>
      </c>
      <c r="L600" s="67" t="str">
        <f t="shared" si="75"/>
        <v xml:space="preserve"> </v>
      </c>
      <c r="M600" s="61"/>
      <c r="N600" s="61"/>
      <c r="O600" s="61"/>
    </row>
    <row r="601" spans="1:17" ht="14.25" customHeight="1">
      <c r="A601" s="63"/>
      <c r="B601" s="63">
        <v>22</v>
      </c>
      <c r="C601" s="64"/>
      <c r="D601" s="65"/>
      <c r="E601" s="65"/>
      <c r="F601" s="93"/>
      <c r="G601" s="94"/>
      <c r="H601" s="95"/>
      <c r="I601" s="66" t="str">
        <f t="shared" si="72"/>
        <v xml:space="preserve"> </v>
      </c>
      <c r="J601" s="67" t="str">
        <f t="shared" si="73"/>
        <v xml:space="preserve"> </v>
      </c>
      <c r="K601" s="68" t="str">
        <f t="shared" si="74"/>
        <v xml:space="preserve"> </v>
      </c>
      <c r="L601" s="67" t="str">
        <f t="shared" si="75"/>
        <v xml:space="preserve"> </v>
      </c>
      <c r="M601" s="61"/>
      <c r="N601" s="61"/>
      <c r="O601" s="61"/>
    </row>
    <row r="602" spans="1:17" ht="14.25" customHeight="1">
      <c r="A602" s="63"/>
      <c r="B602" s="63">
        <v>23</v>
      </c>
      <c r="C602" s="64"/>
      <c r="D602" s="65"/>
      <c r="E602" s="65"/>
      <c r="F602" s="93"/>
      <c r="G602" s="94"/>
      <c r="H602" s="95"/>
      <c r="I602" s="66" t="str">
        <f t="shared" si="72"/>
        <v xml:space="preserve"> </v>
      </c>
      <c r="J602" s="67" t="str">
        <f t="shared" si="73"/>
        <v xml:space="preserve"> </v>
      </c>
      <c r="K602" s="68" t="str">
        <f t="shared" si="74"/>
        <v xml:space="preserve"> </v>
      </c>
      <c r="L602" s="67" t="str">
        <f t="shared" si="75"/>
        <v xml:space="preserve"> </v>
      </c>
      <c r="M602" s="61"/>
      <c r="N602" s="61"/>
      <c r="O602" s="61"/>
    </row>
    <row r="603" spans="1:17" ht="14.25" customHeight="1">
      <c r="A603" s="63"/>
      <c r="B603" s="63">
        <v>24</v>
      </c>
      <c r="C603" s="64"/>
      <c r="D603" s="65"/>
      <c r="E603" s="65"/>
      <c r="F603" s="93"/>
      <c r="G603" s="94"/>
      <c r="H603" s="95"/>
      <c r="I603" s="66" t="str">
        <f t="shared" si="72"/>
        <v xml:space="preserve"> </v>
      </c>
      <c r="J603" s="67" t="str">
        <f t="shared" si="73"/>
        <v xml:space="preserve"> </v>
      </c>
      <c r="K603" s="68" t="str">
        <f t="shared" si="74"/>
        <v xml:space="preserve"> </v>
      </c>
      <c r="L603" s="67" t="str">
        <f t="shared" si="75"/>
        <v xml:space="preserve"> </v>
      </c>
      <c r="M603" s="61"/>
      <c r="N603" s="61"/>
      <c r="O603" s="61"/>
    </row>
    <row r="604" spans="1:17" ht="14.25" customHeight="1">
      <c r="A604" s="63"/>
      <c r="B604" s="63">
        <v>25</v>
      </c>
      <c r="C604" s="87"/>
      <c r="D604" s="65"/>
      <c r="E604" s="65"/>
      <c r="F604" s="93"/>
      <c r="G604" s="94"/>
      <c r="H604" s="95"/>
      <c r="I604" s="66" t="str">
        <f t="shared" si="72"/>
        <v xml:space="preserve"> </v>
      </c>
      <c r="J604" s="67" t="str">
        <f t="shared" si="73"/>
        <v xml:space="preserve"> </v>
      </c>
      <c r="K604" s="68" t="str">
        <f t="shared" si="74"/>
        <v xml:space="preserve"> </v>
      </c>
      <c r="L604" s="67" t="str">
        <f t="shared" si="75"/>
        <v xml:space="preserve"> </v>
      </c>
      <c r="M604" s="61"/>
      <c r="N604" s="61"/>
      <c r="O604" s="61"/>
    </row>
    <row r="605" spans="1:17" ht="14.25" customHeight="1">
      <c r="A605" s="99" t="s">
        <v>35</v>
      </c>
      <c r="B605" s="84">
        <f>COUNT(I580:I604)</f>
        <v>0</v>
      </c>
      <c r="C605" s="84">
        <f>COUNT(K580:K604)</f>
        <v>0</v>
      </c>
      <c r="D605" s="84">
        <f>SUM(E580:E604)*2</f>
        <v>0</v>
      </c>
      <c r="E605" s="84"/>
      <c r="F605" s="84"/>
      <c r="G605" s="84"/>
      <c r="H605" s="84"/>
      <c r="I605" s="96" t="s">
        <v>36</v>
      </c>
      <c r="J605" s="97"/>
      <c r="K605" s="98" t="s">
        <v>37</v>
      </c>
      <c r="L605" s="97"/>
      <c r="M605" s="61"/>
      <c r="N605" s="61"/>
      <c r="O605" s="61"/>
    </row>
    <row r="606" spans="1:17" ht="14.25" customHeight="1">
      <c r="A606" s="105"/>
      <c r="B606" s="85"/>
      <c r="C606" s="85"/>
      <c r="D606" s="85"/>
      <c r="E606" s="85"/>
      <c r="F606" s="85"/>
      <c r="G606" s="85"/>
      <c r="H606" s="85"/>
      <c r="I606" s="99">
        <f>I574</f>
        <v>15</v>
      </c>
      <c r="J606" s="100"/>
      <c r="K606" s="103">
        <f>I606*D605*1.07</f>
        <v>0</v>
      </c>
      <c r="L606" s="100"/>
    </row>
    <row r="607" spans="1:17" ht="15.75" customHeight="1">
      <c r="A607" s="101"/>
      <c r="B607" s="86"/>
      <c r="C607" s="86"/>
      <c r="D607" s="86"/>
      <c r="E607" s="86"/>
      <c r="F607" s="86"/>
      <c r="G607" s="86"/>
      <c r="H607" s="86"/>
      <c r="I607" s="101"/>
      <c r="J607" s="102"/>
      <c r="K607" s="104"/>
      <c r="L607" s="102"/>
    </row>
    <row r="608" spans="1:17" ht="14.25" customHeight="1"/>
    <row r="609" spans="1:18" ht="14.25" customHeight="1"/>
    <row r="610" spans="1:18" ht="14.25" customHeight="1">
      <c r="A610" s="106" t="s">
        <v>2</v>
      </c>
      <c r="B610" s="107"/>
      <c r="C610" s="107"/>
      <c r="D610" s="107"/>
      <c r="E610" s="97"/>
      <c r="F610" s="106" t="s">
        <v>3</v>
      </c>
      <c r="G610" s="107"/>
      <c r="H610" s="97"/>
      <c r="I610" s="108" t="s">
        <v>4</v>
      </c>
      <c r="J610" s="109"/>
      <c r="K610" s="110" t="s">
        <v>5</v>
      </c>
      <c r="L610" s="109"/>
      <c r="O610" s="111" t="s">
        <v>7</v>
      </c>
      <c r="P610" s="107"/>
      <c r="Q610" s="107"/>
      <c r="R610" s="97"/>
    </row>
    <row r="611" spans="1:18" ht="14.25" customHeight="1">
      <c r="A611" s="55" t="s">
        <v>8</v>
      </c>
      <c r="B611" s="55" t="s">
        <v>9</v>
      </c>
      <c r="C611" s="55" t="s">
        <v>10</v>
      </c>
      <c r="D611" s="56" t="s">
        <v>11</v>
      </c>
      <c r="E611" s="57" t="s">
        <v>12</v>
      </c>
      <c r="F611" s="117" t="s">
        <v>11</v>
      </c>
      <c r="G611" s="104"/>
      <c r="H611" s="102"/>
      <c r="I611" s="58" t="s">
        <v>13</v>
      </c>
      <c r="J611" s="59" t="s">
        <v>14</v>
      </c>
      <c r="K611" s="60" t="s">
        <v>13</v>
      </c>
      <c r="L611" s="59" t="s">
        <v>14</v>
      </c>
      <c r="M611" s="61"/>
      <c r="N611" s="61"/>
      <c r="O611" s="112" t="s">
        <v>15</v>
      </c>
      <c r="P611" s="113"/>
      <c r="Q611" s="113"/>
      <c r="R611" s="114"/>
    </row>
    <row r="612" spans="1:18" ht="14.25" customHeight="1">
      <c r="A612" s="62">
        <v>42370</v>
      </c>
      <c r="B612" s="63">
        <v>1</v>
      </c>
      <c r="C612" s="64"/>
      <c r="D612" s="65"/>
      <c r="E612" s="65"/>
      <c r="F612" s="118"/>
      <c r="G612" s="119"/>
      <c r="H612" s="109"/>
      <c r="I612" s="66" t="str">
        <f t="shared" ref="I612:I636" si="76">IF(C612="L",IF(F612-D612&gt;0,F612-D612," "),IF(D612-F612&gt;0,D612-F612," "))</f>
        <v xml:space="preserve"> </v>
      </c>
      <c r="J612" s="67" t="str">
        <f t="shared" ref="J612:J636" si="77">IF(C612="L",IF(F612-D612&gt;0,(F612-D612)*200*E612," "),IF(D612-F612&gt;0,(D612-F612)*200*E612," "))</f>
        <v xml:space="preserve"> </v>
      </c>
      <c r="K612" s="68" t="str">
        <f t="shared" ref="K612:K636" si="78">IF(C612="L",IF(F612-D612&lt;0,F612-D612," "),IF(D612-F612&lt;0,D612-F612," "))</f>
        <v xml:space="preserve"> </v>
      </c>
      <c r="L612" s="67" t="str">
        <f t="shared" ref="L612:L636" si="79">IF(C612="L",IF(F612-D612&lt;0,(F612-D612)*200*E612," "),IF(D612-F612&lt;0,(D612-F612)*200*E612," "))</f>
        <v xml:space="preserve"> </v>
      </c>
      <c r="M612" s="61"/>
      <c r="N612" s="61"/>
      <c r="O612" s="22" t="s">
        <v>19</v>
      </c>
      <c r="P612" s="23">
        <f>B637+C637</f>
        <v>0</v>
      </c>
      <c r="Q612" s="115"/>
      <c r="R612" s="116"/>
    </row>
    <row r="613" spans="1:18" ht="14.25" customHeight="1">
      <c r="A613" s="63"/>
      <c r="B613" s="63">
        <v>2</v>
      </c>
      <c r="C613" s="64"/>
      <c r="D613" s="65"/>
      <c r="E613" s="65"/>
      <c r="F613" s="93"/>
      <c r="G613" s="94"/>
      <c r="H613" s="95"/>
      <c r="I613" s="66" t="str">
        <f t="shared" si="76"/>
        <v xml:space="preserve"> </v>
      </c>
      <c r="J613" s="67" t="str">
        <f t="shared" si="77"/>
        <v xml:space="preserve"> </v>
      </c>
      <c r="K613" s="68" t="str">
        <f t="shared" si="78"/>
        <v xml:space="preserve"> </v>
      </c>
      <c r="L613" s="67" t="str">
        <f t="shared" si="79"/>
        <v xml:space="preserve"> </v>
      </c>
      <c r="M613" s="61"/>
      <c r="N613" s="61"/>
      <c r="O613" s="70" t="s">
        <v>20</v>
      </c>
      <c r="P613" s="71" t="e">
        <f>B637/P612*100</f>
        <v>#DIV/0!</v>
      </c>
      <c r="Q613" s="72" t="s">
        <v>21</v>
      </c>
      <c r="R613" s="73" t="e">
        <f>C637/P612*100</f>
        <v>#DIV/0!</v>
      </c>
    </row>
    <row r="614" spans="1:18" ht="14.25" customHeight="1">
      <c r="A614" s="63"/>
      <c r="B614" s="63">
        <v>3</v>
      </c>
      <c r="C614" s="64"/>
      <c r="D614" s="65"/>
      <c r="E614" s="65"/>
      <c r="F614" s="93"/>
      <c r="G614" s="94"/>
      <c r="H614" s="95"/>
      <c r="I614" s="66" t="str">
        <f t="shared" si="76"/>
        <v xml:space="preserve"> </v>
      </c>
      <c r="J614" s="67" t="str">
        <f t="shared" si="77"/>
        <v xml:space="preserve"> </v>
      </c>
      <c r="K614" s="68" t="str">
        <f t="shared" si="78"/>
        <v xml:space="preserve"> </v>
      </c>
      <c r="L614" s="67" t="str">
        <f t="shared" si="79"/>
        <v xml:space="preserve"> </v>
      </c>
      <c r="M614" s="61"/>
      <c r="N614" s="61"/>
      <c r="O614" s="70" t="s">
        <v>22</v>
      </c>
      <c r="P614" s="74" t="e">
        <f>SUM(I612:I636)/B637</f>
        <v>#DIV/0!</v>
      </c>
      <c r="Q614" s="72" t="s">
        <v>23</v>
      </c>
      <c r="R614" s="75" t="e">
        <f>SUM(K612:K636)/C637</f>
        <v>#DIV/0!</v>
      </c>
    </row>
    <row r="615" spans="1:18" ht="14.25" customHeight="1">
      <c r="A615" s="63"/>
      <c r="B615" s="63">
        <v>4</v>
      </c>
      <c r="C615" s="64"/>
      <c r="D615" s="65"/>
      <c r="E615" s="65"/>
      <c r="F615" s="93"/>
      <c r="G615" s="94"/>
      <c r="H615" s="95"/>
      <c r="I615" s="66" t="str">
        <f t="shared" si="76"/>
        <v xml:space="preserve"> </v>
      </c>
      <c r="J615" s="67" t="str">
        <f t="shared" si="77"/>
        <v xml:space="preserve"> </v>
      </c>
      <c r="K615" s="68" t="str">
        <f t="shared" si="78"/>
        <v xml:space="preserve"> </v>
      </c>
      <c r="L615" s="67" t="str">
        <f t="shared" si="79"/>
        <v xml:space="preserve"> </v>
      </c>
      <c r="M615" s="61"/>
      <c r="N615" s="61"/>
      <c r="O615" s="76" t="s">
        <v>24</v>
      </c>
      <c r="P615" s="77">
        <f>SUM(J612:J636)</f>
        <v>0</v>
      </c>
      <c r="Q615" s="78" t="s">
        <v>25</v>
      </c>
      <c r="R615" s="79">
        <f>SUM(L612:L636)</f>
        <v>0</v>
      </c>
    </row>
    <row r="616" spans="1:18" ht="14.25" customHeight="1">
      <c r="A616" s="63"/>
      <c r="B616" s="63">
        <v>5</v>
      </c>
      <c r="C616" s="64"/>
      <c r="D616" s="65"/>
      <c r="E616" s="65"/>
      <c r="F616" s="93"/>
      <c r="G616" s="94"/>
      <c r="H616" s="95"/>
      <c r="I616" s="66" t="str">
        <f t="shared" si="76"/>
        <v xml:space="preserve"> </v>
      </c>
      <c r="J616" s="67" t="str">
        <f t="shared" si="77"/>
        <v xml:space="preserve"> </v>
      </c>
      <c r="K616" s="68" t="str">
        <f t="shared" si="78"/>
        <v xml:space="preserve"> </v>
      </c>
      <c r="L616" s="67" t="str">
        <f t="shared" si="79"/>
        <v xml:space="preserve"> </v>
      </c>
      <c r="M616" s="61"/>
      <c r="N616" s="61"/>
      <c r="O616" s="128" t="s">
        <v>26</v>
      </c>
      <c r="P616" s="119"/>
      <c r="Q616" s="119"/>
      <c r="R616" s="109"/>
    </row>
    <row r="617" spans="1:18" ht="14.25" customHeight="1">
      <c r="A617" s="63"/>
      <c r="B617" s="63">
        <v>6</v>
      </c>
      <c r="C617" s="64"/>
      <c r="D617" s="65"/>
      <c r="E617" s="65"/>
      <c r="F617" s="93"/>
      <c r="G617" s="94"/>
      <c r="H617" s="95"/>
      <c r="I617" s="66" t="str">
        <f t="shared" si="76"/>
        <v xml:space="preserve"> </v>
      </c>
      <c r="J617" s="67" t="str">
        <f t="shared" si="77"/>
        <v xml:space="preserve"> </v>
      </c>
      <c r="K617" s="68" t="str">
        <f t="shared" si="78"/>
        <v xml:space="preserve"> </v>
      </c>
      <c r="L617" s="67" t="str">
        <f t="shared" si="79"/>
        <v xml:space="preserve"> </v>
      </c>
      <c r="M617" s="61"/>
      <c r="N617" s="61"/>
      <c r="O617" s="129" t="s">
        <v>27</v>
      </c>
      <c r="P617" s="131">
        <f>P615+R615-K638</f>
        <v>0</v>
      </c>
      <c r="Q617" s="129" t="s">
        <v>28</v>
      </c>
      <c r="R617" s="133" t="e">
        <f>K638/P617</f>
        <v>#DIV/0!</v>
      </c>
    </row>
    <row r="618" spans="1:18" ht="14.25" customHeight="1">
      <c r="A618" s="63"/>
      <c r="B618" s="63">
        <v>7</v>
      </c>
      <c r="C618" s="64"/>
      <c r="D618" s="65"/>
      <c r="E618" s="65"/>
      <c r="F618" s="93"/>
      <c r="G618" s="94"/>
      <c r="H618" s="95"/>
      <c r="I618" s="66" t="str">
        <f t="shared" si="76"/>
        <v xml:space="preserve"> </v>
      </c>
      <c r="J618" s="67" t="str">
        <f t="shared" si="77"/>
        <v xml:space="preserve"> </v>
      </c>
      <c r="K618" s="68" t="str">
        <f t="shared" si="78"/>
        <v xml:space="preserve"> </v>
      </c>
      <c r="L618" s="67" t="str">
        <f t="shared" si="79"/>
        <v xml:space="preserve"> </v>
      </c>
      <c r="M618" s="61"/>
      <c r="N618" s="61"/>
      <c r="O618" s="130"/>
      <c r="P618" s="132"/>
      <c r="Q618" s="130"/>
      <c r="R618" s="132"/>
    </row>
    <row r="619" spans="1:18" ht="14.25" customHeight="1">
      <c r="A619" s="63"/>
      <c r="B619" s="63">
        <v>8</v>
      </c>
      <c r="C619" s="64"/>
      <c r="D619" s="65"/>
      <c r="E619" s="65"/>
      <c r="F619" s="93"/>
      <c r="G619" s="94"/>
      <c r="H619" s="95"/>
      <c r="I619" s="66" t="str">
        <f t="shared" si="76"/>
        <v xml:space="preserve"> </v>
      </c>
      <c r="J619" s="67" t="str">
        <f t="shared" si="77"/>
        <v xml:space="preserve"> </v>
      </c>
      <c r="K619" s="68" t="str">
        <f t="shared" si="78"/>
        <v xml:space="preserve"> </v>
      </c>
      <c r="L619" s="67" t="str">
        <f t="shared" si="79"/>
        <v xml:space="preserve"> </v>
      </c>
      <c r="M619" s="61"/>
      <c r="N619" s="61"/>
      <c r="O619" s="124" t="s">
        <v>29</v>
      </c>
      <c r="P619" s="125"/>
      <c r="Q619" s="100"/>
      <c r="R619" s="126" t="e">
        <f>IF(R615&lt;0,((P613*P614/100)+(R613*R614/100)),P614)</f>
        <v>#DIV/0!</v>
      </c>
    </row>
    <row r="620" spans="1:18" ht="14.25" customHeight="1">
      <c r="A620" s="63"/>
      <c r="B620" s="63">
        <v>9</v>
      </c>
      <c r="C620" s="64"/>
      <c r="D620" s="65"/>
      <c r="E620" s="65"/>
      <c r="F620" s="93"/>
      <c r="G620" s="94"/>
      <c r="H620" s="95"/>
      <c r="I620" s="66" t="str">
        <f t="shared" si="76"/>
        <v xml:space="preserve"> </v>
      </c>
      <c r="J620" s="67" t="str">
        <f t="shared" si="77"/>
        <v xml:space="preserve"> </v>
      </c>
      <c r="K620" s="68" t="str">
        <f t="shared" si="78"/>
        <v xml:space="preserve"> </v>
      </c>
      <c r="L620" s="67" t="str">
        <f t="shared" si="79"/>
        <v xml:space="preserve"> </v>
      </c>
      <c r="M620" s="61"/>
      <c r="N620" s="61"/>
      <c r="O620" s="101"/>
      <c r="P620" s="104"/>
      <c r="Q620" s="102"/>
      <c r="R620" s="127"/>
    </row>
    <row r="621" spans="1:18" ht="14.25" customHeight="1">
      <c r="A621" s="63"/>
      <c r="B621" s="63">
        <v>10</v>
      </c>
      <c r="C621" s="64"/>
      <c r="D621" s="65"/>
      <c r="E621" s="65"/>
      <c r="F621" s="93"/>
      <c r="G621" s="94"/>
      <c r="H621" s="95"/>
      <c r="I621" s="66" t="str">
        <f t="shared" si="76"/>
        <v xml:space="preserve"> </v>
      </c>
      <c r="J621" s="67" t="str">
        <f t="shared" si="77"/>
        <v xml:space="preserve"> </v>
      </c>
      <c r="K621" s="68" t="str">
        <f t="shared" si="78"/>
        <v xml:space="preserve"> </v>
      </c>
      <c r="L621" s="67" t="str">
        <f t="shared" si="79"/>
        <v xml:space="preserve"> </v>
      </c>
      <c r="M621" s="61"/>
      <c r="N621" s="61"/>
    </row>
    <row r="622" spans="1:18" ht="14.25" customHeight="1">
      <c r="A622" s="63"/>
      <c r="B622" s="63">
        <v>11</v>
      </c>
      <c r="C622" s="64"/>
      <c r="D622" s="65"/>
      <c r="E622" s="65"/>
      <c r="F622" s="93"/>
      <c r="G622" s="94"/>
      <c r="H622" s="95"/>
      <c r="I622" s="66" t="str">
        <f t="shared" si="76"/>
        <v xml:space="preserve"> </v>
      </c>
      <c r="J622" s="67" t="str">
        <f t="shared" si="77"/>
        <v xml:space="preserve"> </v>
      </c>
      <c r="K622" s="68" t="str">
        <f t="shared" si="78"/>
        <v xml:space="preserve"> </v>
      </c>
      <c r="L622" s="67" t="str">
        <f t="shared" si="79"/>
        <v xml:space="preserve"> </v>
      </c>
      <c r="M622" s="61"/>
      <c r="N622" s="61"/>
      <c r="O622" s="134" t="s">
        <v>30</v>
      </c>
      <c r="P622" s="107"/>
      <c r="Q622" s="97"/>
    </row>
    <row r="623" spans="1:18" ht="14.25" customHeight="1">
      <c r="A623" s="63"/>
      <c r="B623" s="63">
        <v>12</v>
      </c>
      <c r="C623" s="64"/>
      <c r="D623" s="65"/>
      <c r="E623" s="65"/>
      <c r="F623" s="93"/>
      <c r="G623" s="94"/>
      <c r="H623" s="95"/>
      <c r="I623" s="66" t="str">
        <f t="shared" si="76"/>
        <v xml:space="preserve"> </v>
      </c>
      <c r="J623" s="67" t="str">
        <f t="shared" si="77"/>
        <v xml:space="preserve"> </v>
      </c>
      <c r="K623" s="68" t="str">
        <f t="shared" si="78"/>
        <v xml:space="preserve"> </v>
      </c>
      <c r="L623" s="67" t="str">
        <f t="shared" si="79"/>
        <v xml:space="preserve"> </v>
      </c>
      <c r="M623" s="61"/>
      <c r="N623" s="61"/>
      <c r="O623" s="80" t="s">
        <v>31</v>
      </c>
      <c r="P623" s="135">
        <f>MAX(I612:I636)</f>
        <v>0</v>
      </c>
      <c r="Q623" s="95"/>
    </row>
    <row r="624" spans="1:18" ht="14.25" customHeight="1">
      <c r="A624" s="63"/>
      <c r="B624" s="63">
        <v>13</v>
      </c>
      <c r="C624" s="64"/>
      <c r="D624" s="65"/>
      <c r="E624" s="65"/>
      <c r="F624" s="93"/>
      <c r="G624" s="94"/>
      <c r="H624" s="95"/>
      <c r="I624" s="66" t="str">
        <f t="shared" si="76"/>
        <v xml:space="preserve"> </v>
      </c>
      <c r="J624" s="67" t="str">
        <f t="shared" si="77"/>
        <v xml:space="preserve"> </v>
      </c>
      <c r="K624" s="68" t="str">
        <f t="shared" si="78"/>
        <v xml:space="preserve"> </v>
      </c>
      <c r="L624" s="67" t="str">
        <f t="shared" si="79"/>
        <v xml:space="preserve"> </v>
      </c>
      <c r="M624" s="61"/>
      <c r="N624" s="61"/>
      <c r="O624" s="81" t="s">
        <v>32</v>
      </c>
      <c r="P624" s="123">
        <f>MAX(J612:J636)</f>
        <v>0</v>
      </c>
      <c r="Q624" s="95"/>
    </row>
    <row r="625" spans="1:17" ht="14.25" customHeight="1">
      <c r="A625" s="63"/>
      <c r="B625" s="63">
        <v>14</v>
      </c>
      <c r="C625" s="64"/>
      <c r="D625" s="65"/>
      <c r="E625" s="65"/>
      <c r="F625" s="93"/>
      <c r="G625" s="94"/>
      <c r="H625" s="95"/>
      <c r="I625" s="66" t="str">
        <f t="shared" si="76"/>
        <v xml:space="preserve"> </v>
      </c>
      <c r="J625" s="67" t="str">
        <f t="shared" si="77"/>
        <v xml:space="preserve"> </v>
      </c>
      <c r="K625" s="68" t="str">
        <f t="shared" si="78"/>
        <v xml:space="preserve"> </v>
      </c>
      <c r="L625" s="67" t="str">
        <f t="shared" si="79"/>
        <v xml:space="preserve"> </v>
      </c>
      <c r="M625" s="61"/>
      <c r="N625" s="61"/>
      <c r="O625" s="82" t="s">
        <v>33</v>
      </c>
      <c r="P625" s="120">
        <f>MIN(K612:K636)</f>
        <v>0</v>
      </c>
      <c r="Q625" s="95"/>
    </row>
    <row r="626" spans="1:17" ht="14.25" customHeight="1">
      <c r="A626" s="63"/>
      <c r="B626" s="63">
        <v>15</v>
      </c>
      <c r="C626" s="64"/>
      <c r="D626" s="65"/>
      <c r="E626" s="65"/>
      <c r="F626" s="93"/>
      <c r="G626" s="94"/>
      <c r="H626" s="95"/>
      <c r="I626" s="66" t="str">
        <f t="shared" si="76"/>
        <v xml:space="preserve"> </v>
      </c>
      <c r="J626" s="67" t="str">
        <f t="shared" si="77"/>
        <v xml:space="preserve"> </v>
      </c>
      <c r="K626" s="68" t="str">
        <f t="shared" si="78"/>
        <v xml:space="preserve"> </v>
      </c>
      <c r="L626" s="67" t="str">
        <f t="shared" si="79"/>
        <v xml:space="preserve"> </v>
      </c>
      <c r="M626" s="61"/>
      <c r="N626" s="61"/>
      <c r="O626" s="83" t="s">
        <v>34</v>
      </c>
      <c r="P626" s="121">
        <f>MIN(L612:L636)</f>
        <v>0</v>
      </c>
      <c r="Q626" s="122"/>
    </row>
    <row r="627" spans="1:17" ht="14.25" customHeight="1">
      <c r="A627" s="63"/>
      <c r="B627" s="63">
        <v>16</v>
      </c>
      <c r="C627" s="64"/>
      <c r="D627" s="65"/>
      <c r="E627" s="65"/>
      <c r="F627" s="93"/>
      <c r="G627" s="94"/>
      <c r="H627" s="95"/>
      <c r="I627" s="66" t="str">
        <f t="shared" si="76"/>
        <v xml:space="preserve"> </v>
      </c>
      <c r="J627" s="67" t="str">
        <f t="shared" si="77"/>
        <v xml:space="preserve"> </v>
      </c>
      <c r="K627" s="68" t="str">
        <f t="shared" si="78"/>
        <v xml:space="preserve"> </v>
      </c>
      <c r="L627" s="67" t="str">
        <f t="shared" si="79"/>
        <v xml:space="preserve"> </v>
      </c>
      <c r="M627" s="61"/>
      <c r="N627" s="61"/>
      <c r="O627" s="61"/>
    </row>
    <row r="628" spans="1:17" ht="14.25" customHeight="1">
      <c r="A628" s="63"/>
      <c r="B628" s="63">
        <v>17</v>
      </c>
      <c r="C628" s="64"/>
      <c r="D628" s="65"/>
      <c r="E628" s="65"/>
      <c r="F628" s="93"/>
      <c r="G628" s="94"/>
      <c r="H628" s="95"/>
      <c r="I628" s="66" t="str">
        <f t="shared" si="76"/>
        <v xml:space="preserve"> </v>
      </c>
      <c r="J628" s="67" t="str">
        <f t="shared" si="77"/>
        <v xml:space="preserve"> </v>
      </c>
      <c r="K628" s="68" t="str">
        <f t="shared" si="78"/>
        <v xml:space="preserve"> </v>
      </c>
      <c r="L628" s="67" t="str">
        <f t="shared" si="79"/>
        <v xml:space="preserve"> </v>
      </c>
      <c r="M628" s="61"/>
      <c r="N628" s="61"/>
      <c r="O628" s="61"/>
    </row>
    <row r="629" spans="1:17" ht="14.25" customHeight="1">
      <c r="A629" s="63"/>
      <c r="B629" s="63">
        <v>18</v>
      </c>
      <c r="C629" s="64"/>
      <c r="D629" s="65"/>
      <c r="E629" s="65"/>
      <c r="F629" s="93"/>
      <c r="G629" s="94"/>
      <c r="H629" s="95"/>
      <c r="I629" s="66" t="str">
        <f t="shared" si="76"/>
        <v xml:space="preserve"> </v>
      </c>
      <c r="J629" s="67" t="str">
        <f t="shared" si="77"/>
        <v xml:space="preserve"> </v>
      </c>
      <c r="K629" s="68" t="str">
        <f t="shared" si="78"/>
        <v xml:space="preserve"> </v>
      </c>
      <c r="L629" s="67" t="str">
        <f t="shared" si="79"/>
        <v xml:space="preserve"> </v>
      </c>
      <c r="M629" s="61"/>
      <c r="N629" s="61"/>
      <c r="O629" s="61"/>
    </row>
    <row r="630" spans="1:17" ht="14.25" customHeight="1">
      <c r="A630" s="63"/>
      <c r="B630" s="63">
        <v>19</v>
      </c>
      <c r="C630" s="64"/>
      <c r="D630" s="65"/>
      <c r="E630" s="65"/>
      <c r="F630" s="93"/>
      <c r="G630" s="94"/>
      <c r="H630" s="95"/>
      <c r="I630" s="66" t="str">
        <f t="shared" si="76"/>
        <v xml:space="preserve"> </v>
      </c>
      <c r="J630" s="67" t="str">
        <f t="shared" si="77"/>
        <v xml:space="preserve"> </v>
      </c>
      <c r="K630" s="68" t="str">
        <f t="shared" si="78"/>
        <v xml:space="preserve"> </v>
      </c>
      <c r="L630" s="67" t="str">
        <f t="shared" si="79"/>
        <v xml:space="preserve"> </v>
      </c>
      <c r="M630" s="61"/>
      <c r="N630" s="61"/>
      <c r="O630" s="61"/>
    </row>
    <row r="631" spans="1:17" ht="14.25" customHeight="1">
      <c r="A631" s="63"/>
      <c r="B631" s="63">
        <v>20</v>
      </c>
      <c r="C631" s="64"/>
      <c r="D631" s="65"/>
      <c r="E631" s="65"/>
      <c r="F631" s="93"/>
      <c r="G631" s="94"/>
      <c r="H631" s="95"/>
      <c r="I631" s="66" t="str">
        <f t="shared" si="76"/>
        <v xml:space="preserve"> </v>
      </c>
      <c r="J631" s="67" t="str">
        <f t="shared" si="77"/>
        <v xml:space="preserve"> </v>
      </c>
      <c r="K631" s="68" t="str">
        <f t="shared" si="78"/>
        <v xml:space="preserve"> </v>
      </c>
      <c r="L631" s="67" t="str">
        <f t="shared" si="79"/>
        <v xml:space="preserve"> </v>
      </c>
      <c r="M631" s="61"/>
      <c r="N631" s="61"/>
      <c r="O631" s="61"/>
    </row>
    <row r="632" spans="1:17" ht="14.25" customHeight="1">
      <c r="A632" s="63"/>
      <c r="B632" s="63">
        <v>21</v>
      </c>
      <c r="C632" s="64"/>
      <c r="D632" s="65"/>
      <c r="E632" s="65"/>
      <c r="F632" s="93"/>
      <c r="G632" s="94"/>
      <c r="H632" s="95"/>
      <c r="I632" s="66" t="str">
        <f t="shared" si="76"/>
        <v xml:space="preserve"> </v>
      </c>
      <c r="J632" s="67" t="str">
        <f t="shared" si="77"/>
        <v xml:space="preserve"> </v>
      </c>
      <c r="K632" s="68" t="str">
        <f t="shared" si="78"/>
        <v xml:space="preserve"> </v>
      </c>
      <c r="L632" s="67" t="str">
        <f t="shared" si="79"/>
        <v xml:space="preserve"> </v>
      </c>
      <c r="M632" s="61"/>
      <c r="N632" s="61"/>
      <c r="O632" s="61"/>
    </row>
    <row r="633" spans="1:17" ht="14.25" customHeight="1">
      <c r="A633" s="63"/>
      <c r="B633" s="63">
        <v>22</v>
      </c>
      <c r="C633" s="64"/>
      <c r="D633" s="65"/>
      <c r="E633" s="65"/>
      <c r="F633" s="93"/>
      <c r="G633" s="94"/>
      <c r="H633" s="95"/>
      <c r="I633" s="66" t="str">
        <f t="shared" si="76"/>
        <v xml:space="preserve"> </v>
      </c>
      <c r="J633" s="67" t="str">
        <f t="shared" si="77"/>
        <v xml:space="preserve"> </v>
      </c>
      <c r="K633" s="68" t="str">
        <f t="shared" si="78"/>
        <v xml:space="preserve"> </v>
      </c>
      <c r="L633" s="67" t="str">
        <f t="shared" si="79"/>
        <v xml:space="preserve"> </v>
      </c>
      <c r="M633" s="61"/>
      <c r="N633" s="61"/>
      <c r="O633" s="61"/>
    </row>
    <row r="634" spans="1:17" ht="14.25" customHeight="1">
      <c r="A634" s="63"/>
      <c r="B634" s="63">
        <v>23</v>
      </c>
      <c r="C634" s="64"/>
      <c r="D634" s="65"/>
      <c r="E634" s="65"/>
      <c r="F634" s="93"/>
      <c r="G634" s="94"/>
      <c r="H634" s="95"/>
      <c r="I634" s="66" t="str">
        <f t="shared" si="76"/>
        <v xml:space="preserve"> </v>
      </c>
      <c r="J634" s="67" t="str">
        <f t="shared" si="77"/>
        <v xml:space="preserve"> </v>
      </c>
      <c r="K634" s="68" t="str">
        <f t="shared" si="78"/>
        <v xml:space="preserve"> </v>
      </c>
      <c r="L634" s="67" t="str">
        <f t="shared" si="79"/>
        <v xml:space="preserve"> </v>
      </c>
      <c r="M634" s="61"/>
      <c r="N634" s="61"/>
      <c r="O634" s="61"/>
    </row>
    <row r="635" spans="1:17" ht="14.25" customHeight="1">
      <c r="A635" s="63"/>
      <c r="B635" s="63">
        <v>24</v>
      </c>
      <c r="C635" s="64"/>
      <c r="D635" s="65"/>
      <c r="E635" s="65"/>
      <c r="F635" s="93"/>
      <c r="G635" s="94"/>
      <c r="H635" s="95"/>
      <c r="I635" s="66" t="str">
        <f t="shared" si="76"/>
        <v xml:space="preserve"> </v>
      </c>
      <c r="J635" s="67" t="str">
        <f t="shared" si="77"/>
        <v xml:space="preserve"> </v>
      </c>
      <c r="K635" s="68" t="str">
        <f t="shared" si="78"/>
        <v xml:space="preserve"> </v>
      </c>
      <c r="L635" s="67" t="str">
        <f t="shared" si="79"/>
        <v xml:space="preserve"> </v>
      </c>
      <c r="M635" s="61"/>
      <c r="N635" s="61"/>
      <c r="O635" s="61"/>
    </row>
    <row r="636" spans="1:17" ht="14.25" customHeight="1">
      <c r="A636" s="63"/>
      <c r="B636" s="63">
        <v>25</v>
      </c>
      <c r="C636" s="87"/>
      <c r="D636" s="65"/>
      <c r="E636" s="65"/>
      <c r="F636" s="93"/>
      <c r="G636" s="94"/>
      <c r="H636" s="95"/>
      <c r="I636" s="66" t="str">
        <f t="shared" si="76"/>
        <v xml:space="preserve"> </v>
      </c>
      <c r="J636" s="67" t="str">
        <f t="shared" si="77"/>
        <v xml:space="preserve"> </v>
      </c>
      <c r="K636" s="68" t="str">
        <f t="shared" si="78"/>
        <v xml:space="preserve"> </v>
      </c>
      <c r="L636" s="67" t="str">
        <f t="shared" si="79"/>
        <v xml:space="preserve"> </v>
      </c>
      <c r="M636" s="61"/>
      <c r="N636" s="61"/>
      <c r="O636" s="61"/>
    </row>
    <row r="637" spans="1:17" ht="14.25" customHeight="1">
      <c r="A637" s="99" t="s">
        <v>35</v>
      </c>
      <c r="B637" s="84">
        <f>COUNT(I612:I636)</f>
        <v>0</v>
      </c>
      <c r="C637" s="84">
        <f>COUNT(K612:K636)</f>
        <v>0</v>
      </c>
      <c r="D637" s="84">
        <f>SUM(E612:E636)*2</f>
        <v>0</v>
      </c>
      <c r="E637" s="84"/>
      <c r="F637" s="84"/>
      <c r="G637" s="84"/>
      <c r="H637" s="84"/>
      <c r="I637" s="96" t="s">
        <v>36</v>
      </c>
      <c r="J637" s="97"/>
      <c r="K637" s="98" t="s">
        <v>37</v>
      </c>
      <c r="L637" s="97"/>
      <c r="M637" s="61"/>
      <c r="N637" s="61"/>
      <c r="O637" s="61"/>
    </row>
    <row r="638" spans="1:17" ht="14.25" customHeight="1">
      <c r="A638" s="105"/>
      <c r="B638" s="85"/>
      <c r="C638" s="85"/>
      <c r="D638" s="85"/>
      <c r="E638" s="85"/>
      <c r="F638" s="85"/>
      <c r="G638" s="85"/>
      <c r="H638" s="85"/>
      <c r="I638" s="99">
        <f>I606</f>
        <v>15</v>
      </c>
      <c r="J638" s="100"/>
      <c r="K638" s="103">
        <f>I638*D637*1.07</f>
        <v>0</v>
      </c>
      <c r="L638" s="100"/>
    </row>
    <row r="639" spans="1:17" ht="15.75" customHeight="1">
      <c r="A639" s="101"/>
      <c r="B639" s="86"/>
      <c r="C639" s="86"/>
      <c r="D639" s="86"/>
      <c r="E639" s="86"/>
      <c r="F639" s="86"/>
      <c r="G639" s="86"/>
      <c r="H639" s="86"/>
      <c r="I639" s="101"/>
      <c r="J639" s="102"/>
      <c r="K639" s="104"/>
      <c r="L639" s="102"/>
    </row>
    <row r="640" spans="1:17" ht="14.25" customHeight="1"/>
    <row r="641" spans="1:18" ht="14.25" customHeight="1"/>
    <row r="642" spans="1:18" ht="14.25" customHeight="1">
      <c r="A642" s="106" t="s">
        <v>2</v>
      </c>
      <c r="B642" s="107"/>
      <c r="C642" s="107"/>
      <c r="D642" s="107"/>
      <c r="E642" s="97"/>
      <c r="F642" s="106" t="s">
        <v>3</v>
      </c>
      <c r="G642" s="107"/>
      <c r="H642" s="97"/>
      <c r="I642" s="108" t="s">
        <v>4</v>
      </c>
      <c r="J642" s="109"/>
      <c r="K642" s="110" t="s">
        <v>5</v>
      </c>
      <c r="L642" s="109"/>
      <c r="O642" s="111" t="s">
        <v>7</v>
      </c>
      <c r="P642" s="107"/>
      <c r="Q642" s="107"/>
      <c r="R642" s="97"/>
    </row>
    <row r="643" spans="1:18" ht="14.25" customHeight="1">
      <c r="A643" s="55" t="s">
        <v>8</v>
      </c>
      <c r="B643" s="55" t="s">
        <v>9</v>
      </c>
      <c r="C643" s="55" t="s">
        <v>10</v>
      </c>
      <c r="D643" s="56" t="s">
        <v>11</v>
      </c>
      <c r="E643" s="57" t="s">
        <v>12</v>
      </c>
      <c r="F643" s="117" t="s">
        <v>11</v>
      </c>
      <c r="G643" s="104"/>
      <c r="H643" s="102"/>
      <c r="I643" s="58" t="s">
        <v>13</v>
      </c>
      <c r="J643" s="59" t="s">
        <v>14</v>
      </c>
      <c r="K643" s="60" t="s">
        <v>13</v>
      </c>
      <c r="L643" s="59" t="s">
        <v>14</v>
      </c>
      <c r="M643" s="61"/>
      <c r="N643" s="61"/>
      <c r="O643" s="112" t="s">
        <v>15</v>
      </c>
      <c r="P643" s="113"/>
      <c r="Q643" s="113"/>
      <c r="R643" s="114"/>
    </row>
    <row r="644" spans="1:18" ht="14.25" customHeight="1">
      <c r="A644" s="62">
        <v>42370</v>
      </c>
      <c r="B644" s="63">
        <v>1</v>
      </c>
      <c r="C644" s="64"/>
      <c r="D644" s="65"/>
      <c r="E644" s="65"/>
      <c r="F644" s="118"/>
      <c r="G644" s="119"/>
      <c r="H644" s="109"/>
      <c r="I644" s="66" t="str">
        <f t="shared" ref="I644:I668" si="80">IF(C644="L",IF(F644-D644&gt;0,F644-D644," "),IF(D644-F644&gt;0,D644-F644," "))</f>
        <v xml:space="preserve"> </v>
      </c>
      <c r="J644" s="67" t="str">
        <f t="shared" ref="J644:J668" si="81">IF(C644="L",IF(F644-D644&gt;0,(F644-D644)*200*E644," "),IF(D644-F644&gt;0,(D644-F644)*200*E644," "))</f>
        <v xml:space="preserve"> </v>
      </c>
      <c r="K644" s="68" t="str">
        <f t="shared" ref="K644:K668" si="82">IF(C644="L",IF(F644-D644&lt;0,F644-D644," "),IF(D644-F644&lt;0,D644-F644," "))</f>
        <v xml:space="preserve"> </v>
      </c>
      <c r="L644" s="67" t="str">
        <f t="shared" ref="L644:L668" si="83">IF(C644="L",IF(F644-D644&lt;0,(F644-D644)*200*E644," "),IF(D644-F644&lt;0,(D644-F644)*200*E644," "))</f>
        <v xml:space="preserve"> </v>
      </c>
      <c r="M644" s="61"/>
      <c r="N644" s="61"/>
      <c r="O644" s="22" t="s">
        <v>19</v>
      </c>
      <c r="P644" s="23">
        <f>B669+C669</f>
        <v>0</v>
      </c>
      <c r="Q644" s="115"/>
      <c r="R644" s="116"/>
    </row>
    <row r="645" spans="1:18" ht="14.25" customHeight="1">
      <c r="A645" s="63"/>
      <c r="B645" s="63">
        <v>2</v>
      </c>
      <c r="C645" s="64"/>
      <c r="D645" s="65"/>
      <c r="E645" s="65"/>
      <c r="F645" s="93"/>
      <c r="G645" s="94"/>
      <c r="H645" s="95"/>
      <c r="I645" s="66" t="str">
        <f t="shared" si="80"/>
        <v xml:space="preserve"> </v>
      </c>
      <c r="J645" s="67" t="str">
        <f t="shared" si="81"/>
        <v xml:space="preserve"> </v>
      </c>
      <c r="K645" s="68" t="str">
        <f t="shared" si="82"/>
        <v xml:space="preserve"> </v>
      </c>
      <c r="L645" s="67" t="str">
        <f t="shared" si="83"/>
        <v xml:space="preserve"> </v>
      </c>
      <c r="M645" s="61"/>
      <c r="N645" s="61"/>
      <c r="O645" s="70" t="s">
        <v>20</v>
      </c>
      <c r="P645" s="71" t="e">
        <f>B669/P644*100</f>
        <v>#DIV/0!</v>
      </c>
      <c r="Q645" s="72" t="s">
        <v>21</v>
      </c>
      <c r="R645" s="73" t="e">
        <f>C669/P644*100</f>
        <v>#DIV/0!</v>
      </c>
    </row>
    <row r="646" spans="1:18" ht="14.25" customHeight="1">
      <c r="A646" s="63"/>
      <c r="B646" s="63">
        <v>3</v>
      </c>
      <c r="C646" s="64"/>
      <c r="D646" s="65"/>
      <c r="E646" s="65"/>
      <c r="F646" s="93"/>
      <c r="G646" s="94"/>
      <c r="H646" s="95"/>
      <c r="I646" s="66" t="str">
        <f t="shared" si="80"/>
        <v xml:space="preserve"> </v>
      </c>
      <c r="J646" s="67" t="str">
        <f t="shared" si="81"/>
        <v xml:space="preserve"> </v>
      </c>
      <c r="K646" s="68" t="str">
        <f t="shared" si="82"/>
        <v xml:space="preserve"> </v>
      </c>
      <c r="L646" s="67" t="str">
        <f t="shared" si="83"/>
        <v xml:space="preserve"> </v>
      </c>
      <c r="M646" s="61"/>
      <c r="N646" s="61"/>
      <c r="O646" s="70" t="s">
        <v>22</v>
      </c>
      <c r="P646" s="74" t="e">
        <f>SUM(I644:I668)/B669</f>
        <v>#DIV/0!</v>
      </c>
      <c r="Q646" s="72" t="s">
        <v>23</v>
      </c>
      <c r="R646" s="75" t="e">
        <f>SUM(K644:K668)/C669</f>
        <v>#DIV/0!</v>
      </c>
    </row>
    <row r="647" spans="1:18" ht="14.25" customHeight="1">
      <c r="A647" s="63"/>
      <c r="B647" s="63">
        <v>4</v>
      </c>
      <c r="C647" s="64"/>
      <c r="D647" s="65"/>
      <c r="E647" s="65"/>
      <c r="F647" s="93"/>
      <c r="G647" s="94"/>
      <c r="H647" s="95"/>
      <c r="I647" s="66" t="str">
        <f t="shared" si="80"/>
        <v xml:space="preserve"> </v>
      </c>
      <c r="J647" s="67" t="str">
        <f t="shared" si="81"/>
        <v xml:space="preserve"> </v>
      </c>
      <c r="K647" s="68" t="str">
        <f t="shared" si="82"/>
        <v xml:space="preserve"> </v>
      </c>
      <c r="L647" s="67" t="str">
        <f t="shared" si="83"/>
        <v xml:space="preserve"> </v>
      </c>
      <c r="M647" s="61"/>
      <c r="N647" s="61"/>
      <c r="O647" s="76" t="s">
        <v>24</v>
      </c>
      <c r="P647" s="77">
        <f>SUM(J644:J668)</f>
        <v>0</v>
      </c>
      <c r="Q647" s="78" t="s">
        <v>25</v>
      </c>
      <c r="R647" s="79">
        <f>SUM(L644:L668)</f>
        <v>0</v>
      </c>
    </row>
    <row r="648" spans="1:18" ht="14.25" customHeight="1">
      <c r="A648" s="63"/>
      <c r="B648" s="63">
        <v>5</v>
      </c>
      <c r="C648" s="64"/>
      <c r="D648" s="65"/>
      <c r="E648" s="65"/>
      <c r="F648" s="93"/>
      <c r="G648" s="94"/>
      <c r="H648" s="95"/>
      <c r="I648" s="66" t="str">
        <f t="shared" si="80"/>
        <v xml:space="preserve"> </v>
      </c>
      <c r="J648" s="67" t="str">
        <f t="shared" si="81"/>
        <v xml:space="preserve"> </v>
      </c>
      <c r="K648" s="68" t="str">
        <f t="shared" si="82"/>
        <v xml:space="preserve"> </v>
      </c>
      <c r="L648" s="67" t="str">
        <f t="shared" si="83"/>
        <v xml:space="preserve"> </v>
      </c>
      <c r="M648" s="61"/>
      <c r="N648" s="61"/>
      <c r="O648" s="128" t="s">
        <v>26</v>
      </c>
      <c r="P648" s="119"/>
      <c r="Q648" s="119"/>
      <c r="R648" s="109"/>
    </row>
    <row r="649" spans="1:18" ht="14.25" customHeight="1">
      <c r="A649" s="63"/>
      <c r="B649" s="63">
        <v>6</v>
      </c>
      <c r="C649" s="64"/>
      <c r="D649" s="65"/>
      <c r="E649" s="65"/>
      <c r="F649" s="93"/>
      <c r="G649" s="94"/>
      <c r="H649" s="95"/>
      <c r="I649" s="66" t="str">
        <f t="shared" si="80"/>
        <v xml:space="preserve"> </v>
      </c>
      <c r="J649" s="67" t="str">
        <f t="shared" si="81"/>
        <v xml:space="preserve"> </v>
      </c>
      <c r="K649" s="68" t="str">
        <f t="shared" si="82"/>
        <v xml:space="preserve"> </v>
      </c>
      <c r="L649" s="67" t="str">
        <f t="shared" si="83"/>
        <v xml:space="preserve"> </v>
      </c>
      <c r="M649" s="61"/>
      <c r="N649" s="61"/>
      <c r="O649" s="129" t="s">
        <v>27</v>
      </c>
      <c r="P649" s="131">
        <f>P647+R647-K670</f>
        <v>0</v>
      </c>
      <c r="Q649" s="129" t="s">
        <v>28</v>
      </c>
      <c r="R649" s="133" t="e">
        <f>K670/P649</f>
        <v>#DIV/0!</v>
      </c>
    </row>
    <row r="650" spans="1:18" ht="14.25" customHeight="1">
      <c r="A650" s="63"/>
      <c r="B650" s="63">
        <v>7</v>
      </c>
      <c r="C650" s="64"/>
      <c r="D650" s="65"/>
      <c r="E650" s="65"/>
      <c r="F650" s="93"/>
      <c r="G650" s="94"/>
      <c r="H650" s="95"/>
      <c r="I650" s="66" t="str">
        <f t="shared" si="80"/>
        <v xml:space="preserve"> </v>
      </c>
      <c r="J650" s="67" t="str">
        <f t="shared" si="81"/>
        <v xml:space="preserve"> </v>
      </c>
      <c r="K650" s="68" t="str">
        <f t="shared" si="82"/>
        <v xml:space="preserve"> </v>
      </c>
      <c r="L650" s="67" t="str">
        <f t="shared" si="83"/>
        <v xml:space="preserve"> </v>
      </c>
      <c r="M650" s="61"/>
      <c r="N650" s="61"/>
      <c r="O650" s="130"/>
      <c r="P650" s="132"/>
      <c r="Q650" s="130"/>
      <c r="R650" s="132"/>
    </row>
    <row r="651" spans="1:18" ht="14.25" customHeight="1">
      <c r="A651" s="63"/>
      <c r="B651" s="63">
        <v>8</v>
      </c>
      <c r="C651" s="64"/>
      <c r="D651" s="65"/>
      <c r="E651" s="65"/>
      <c r="F651" s="93"/>
      <c r="G651" s="94"/>
      <c r="H651" s="95"/>
      <c r="I651" s="66" t="str">
        <f t="shared" si="80"/>
        <v xml:space="preserve"> </v>
      </c>
      <c r="J651" s="67" t="str">
        <f t="shared" si="81"/>
        <v xml:space="preserve"> </v>
      </c>
      <c r="K651" s="68" t="str">
        <f t="shared" si="82"/>
        <v xml:space="preserve"> </v>
      </c>
      <c r="L651" s="67" t="str">
        <f t="shared" si="83"/>
        <v xml:space="preserve"> </v>
      </c>
      <c r="M651" s="61"/>
      <c r="N651" s="61"/>
      <c r="O651" s="124" t="s">
        <v>29</v>
      </c>
      <c r="P651" s="125"/>
      <c r="Q651" s="100"/>
      <c r="R651" s="126" t="e">
        <f>IF(R647&lt;0,((P645*P646/100)+(R645*R646/100)),P646)</f>
        <v>#DIV/0!</v>
      </c>
    </row>
    <row r="652" spans="1:18" ht="14.25" customHeight="1">
      <c r="A652" s="63"/>
      <c r="B652" s="63">
        <v>9</v>
      </c>
      <c r="C652" s="64"/>
      <c r="D652" s="65"/>
      <c r="E652" s="65"/>
      <c r="F652" s="93"/>
      <c r="G652" s="94"/>
      <c r="H652" s="95"/>
      <c r="I652" s="66" t="str">
        <f t="shared" si="80"/>
        <v xml:space="preserve"> </v>
      </c>
      <c r="J652" s="67" t="str">
        <f t="shared" si="81"/>
        <v xml:space="preserve"> </v>
      </c>
      <c r="K652" s="68" t="str">
        <f t="shared" si="82"/>
        <v xml:space="preserve"> </v>
      </c>
      <c r="L652" s="67" t="str">
        <f t="shared" si="83"/>
        <v xml:space="preserve"> </v>
      </c>
      <c r="M652" s="61"/>
      <c r="N652" s="61"/>
      <c r="O652" s="101"/>
      <c r="P652" s="104"/>
      <c r="Q652" s="102"/>
      <c r="R652" s="127"/>
    </row>
    <row r="653" spans="1:18" ht="14.25" customHeight="1">
      <c r="A653" s="63"/>
      <c r="B653" s="63">
        <v>10</v>
      </c>
      <c r="C653" s="64"/>
      <c r="D653" s="65"/>
      <c r="E653" s="65"/>
      <c r="F653" s="93"/>
      <c r="G653" s="94"/>
      <c r="H653" s="95"/>
      <c r="I653" s="66" t="str">
        <f t="shared" si="80"/>
        <v xml:space="preserve"> </v>
      </c>
      <c r="J653" s="67" t="str">
        <f t="shared" si="81"/>
        <v xml:space="preserve"> </v>
      </c>
      <c r="K653" s="68" t="str">
        <f t="shared" si="82"/>
        <v xml:space="preserve"> </v>
      </c>
      <c r="L653" s="67" t="str">
        <f t="shared" si="83"/>
        <v xml:space="preserve"> </v>
      </c>
      <c r="M653" s="61"/>
      <c r="N653" s="61"/>
    </row>
    <row r="654" spans="1:18" ht="14.25" customHeight="1">
      <c r="A654" s="63"/>
      <c r="B654" s="63">
        <v>11</v>
      </c>
      <c r="C654" s="64"/>
      <c r="D654" s="65"/>
      <c r="E654" s="65"/>
      <c r="F654" s="93"/>
      <c r="G654" s="94"/>
      <c r="H654" s="95"/>
      <c r="I654" s="66" t="str">
        <f t="shared" si="80"/>
        <v xml:space="preserve"> </v>
      </c>
      <c r="J654" s="67" t="str">
        <f t="shared" si="81"/>
        <v xml:space="preserve"> </v>
      </c>
      <c r="K654" s="68" t="str">
        <f t="shared" si="82"/>
        <v xml:space="preserve"> </v>
      </c>
      <c r="L654" s="67" t="str">
        <f t="shared" si="83"/>
        <v xml:space="preserve"> </v>
      </c>
      <c r="M654" s="61"/>
      <c r="N654" s="61"/>
      <c r="O654" s="134" t="s">
        <v>30</v>
      </c>
      <c r="P654" s="107"/>
      <c r="Q654" s="97"/>
    </row>
    <row r="655" spans="1:18" ht="14.25" customHeight="1">
      <c r="A655" s="63"/>
      <c r="B655" s="63">
        <v>12</v>
      </c>
      <c r="C655" s="64"/>
      <c r="D655" s="65"/>
      <c r="E655" s="65"/>
      <c r="F655" s="93"/>
      <c r="G655" s="94"/>
      <c r="H655" s="95"/>
      <c r="I655" s="66" t="str">
        <f t="shared" si="80"/>
        <v xml:space="preserve"> </v>
      </c>
      <c r="J655" s="67" t="str">
        <f t="shared" si="81"/>
        <v xml:space="preserve"> </v>
      </c>
      <c r="K655" s="68" t="str">
        <f t="shared" si="82"/>
        <v xml:space="preserve"> </v>
      </c>
      <c r="L655" s="67" t="str">
        <f t="shared" si="83"/>
        <v xml:space="preserve"> </v>
      </c>
      <c r="M655" s="61"/>
      <c r="N655" s="61"/>
      <c r="O655" s="80" t="s">
        <v>31</v>
      </c>
      <c r="P655" s="135">
        <f>MAX(I644:I668)</f>
        <v>0</v>
      </c>
      <c r="Q655" s="95"/>
    </row>
    <row r="656" spans="1:18" ht="14.25" customHeight="1">
      <c r="A656" s="63"/>
      <c r="B656" s="63">
        <v>13</v>
      </c>
      <c r="C656" s="64"/>
      <c r="D656" s="65"/>
      <c r="E656" s="65"/>
      <c r="F656" s="93"/>
      <c r="G656" s="94"/>
      <c r="H656" s="95"/>
      <c r="I656" s="66" t="str">
        <f t="shared" si="80"/>
        <v xml:space="preserve"> </v>
      </c>
      <c r="J656" s="67" t="str">
        <f t="shared" si="81"/>
        <v xml:space="preserve"> </v>
      </c>
      <c r="K656" s="68" t="str">
        <f t="shared" si="82"/>
        <v xml:space="preserve"> </v>
      </c>
      <c r="L656" s="67" t="str">
        <f t="shared" si="83"/>
        <v xml:space="preserve"> </v>
      </c>
      <c r="M656" s="61"/>
      <c r="N656" s="61"/>
      <c r="O656" s="81" t="s">
        <v>32</v>
      </c>
      <c r="P656" s="123">
        <f>MAX(J644:J668)</f>
        <v>0</v>
      </c>
      <c r="Q656" s="95"/>
    </row>
    <row r="657" spans="1:17" ht="14.25" customHeight="1">
      <c r="A657" s="63"/>
      <c r="B657" s="63">
        <v>14</v>
      </c>
      <c r="C657" s="64"/>
      <c r="D657" s="65"/>
      <c r="E657" s="65"/>
      <c r="F657" s="93"/>
      <c r="G657" s="94"/>
      <c r="H657" s="95"/>
      <c r="I657" s="66" t="str">
        <f t="shared" si="80"/>
        <v xml:space="preserve"> </v>
      </c>
      <c r="J657" s="67" t="str">
        <f t="shared" si="81"/>
        <v xml:space="preserve"> </v>
      </c>
      <c r="K657" s="68" t="str">
        <f t="shared" si="82"/>
        <v xml:space="preserve"> </v>
      </c>
      <c r="L657" s="67" t="str">
        <f t="shared" si="83"/>
        <v xml:space="preserve"> </v>
      </c>
      <c r="M657" s="61"/>
      <c r="N657" s="61"/>
      <c r="O657" s="82" t="s">
        <v>33</v>
      </c>
      <c r="P657" s="120">
        <f>MIN(K644:K668)</f>
        <v>0</v>
      </c>
      <c r="Q657" s="95"/>
    </row>
    <row r="658" spans="1:17" ht="14.25" customHeight="1">
      <c r="A658" s="63"/>
      <c r="B658" s="63">
        <v>15</v>
      </c>
      <c r="C658" s="64"/>
      <c r="D658" s="65"/>
      <c r="E658" s="65"/>
      <c r="F658" s="93"/>
      <c r="G658" s="94"/>
      <c r="H658" s="95"/>
      <c r="I658" s="66" t="str">
        <f t="shared" si="80"/>
        <v xml:space="preserve"> </v>
      </c>
      <c r="J658" s="67" t="str">
        <f t="shared" si="81"/>
        <v xml:space="preserve"> </v>
      </c>
      <c r="K658" s="68" t="str">
        <f t="shared" si="82"/>
        <v xml:space="preserve"> </v>
      </c>
      <c r="L658" s="67" t="str">
        <f t="shared" si="83"/>
        <v xml:space="preserve"> </v>
      </c>
      <c r="M658" s="61"/>
      <c r="N658" s="61"/>
      <c r="O658" s="83" t="s">
        <v>34</v>
      </c>
      <c r="P658" s="121">
        <f>MIN(L644:L668)</f>
        <v>0</v>
      </c>
      <c r="Q658" s="122"/>
    </row>
    <row r="659" spans="1:17" ht="14.25" customHeight="1">
      <c r="A659" s="63"/>
      <c r="B659" s="63">
        <v>16</v>
      </c>
      <c r="C659" s="64"/>
      <c r="D659" s="65"/>
      <c r="E659" s="65"/>
      <c r="F659" s="93"/>
      <c r="G659" s="94"/>
      <c r="H659" s="95"/>
      <c r="I659" s="66" t="str">
        <f t="shared" si="80"/>
        <v xml:space="preserve"> </v>
      </c>
      <c r="J659" s="67" t="str">
        <f t="shared" si="81"/>
        <v xml:space="preserve"> </v>
      </c>
      <c r="K659" s="68" t="str">
        <f t="shared" si="82"/>
        <v xml:space="preserve"> </v>
      </c>
      <c r="L659" s="67" t="str">
        <f t="shared" si="83"/>
        <v xml:space="preserve"> </v>
      </c>
      <c r="M659" s="61"/>
      <c r="N659" s="61"/>
      <c r="O659" s="61"/>
    </row>
    <row r="660" spans="1:17" ht="14.25" customHeight="1">
      <c r="A660" s="63"/>
      <c r="B660" s="63">
        <v>17</v>
      </c>
      <c r="C660" s="64"/>
      <c r="D660" s="65"/>
      <c r="E660" s="65"/>
      <c r="F660" s="93"/>
      <c r="G660" s="94"/>
      <c r="H660" s="95"/>
      <c r="I660" s="66" t="str">
        <f t="shared" si="80"/>
        <v xml:space="preserve"> </v>
      </c>
      <c r="J660" s="67" t="str">
        <f t="shared" si="81"/>
        <v xml:space="preserve"> </v>
      </c>
      <c r="K660" s="68" t="str">
        <f t="shared" si="82"/>
        <v xml:space="preserve"> </v>
      </c>
      <c r="L660" s="67" t="str">
        <f t="shared" si="83"/>
        <v xml:space="preserve"> </v>
      </c>
      <c r="M660" s="61"/>
      <c r="N660" s="61"/>
      <c r="O660" s="61"/>
    </row>
    <row r="661" spans="1:17" ht="14.25" customHeight="1">
      <c r="A661" s="63"/>
      <c r="B661" s="63">
        <v>18</v>
      </c>
      <c r="C661" s="64"/>
      <c r="D661" s="65"/>
      <c r="E661" s="65"/>
      <c r="F661" s="93"/>
      <c r="G661" s="94"/>
      <c r="H661" s="95"/>
      <c r="I661" s="66" t="str">
        <f t="shared" si="80"/>
        <v xml:space="preserve"> </v>
      </c>
      <c r="J661" s="67" t="str">
        <f t="shared" si="81"/>
        <v xml:space="preserve"> </v>
      </c>
      <c r="K661" s="68" t="str">
        <f t="shared" si="82"/>
        <v xml:space="preserve"> </v>
      </c>
      <c r="L661" s="67" t="str">
        <f t="shared" si="83"/>
        <v xml:space="preserve"> </v>
      </c>
      <c r="M661" s="61"/>
      <c r="N661" s="61"/>
      <c r="O661" s="61"/>
    </row>
    <row r="662" spans="1:17" ht="14.25" customHeight="1">
      <c r="A662" s="63"/>
      <c r="B662" s="63">
        <v>19</v>
      </c>
      <c r="C662" s="64"/>
      <c r="D662" s="65"/>
      <c r="E662" s="65"/>
      <c r="F662" s="93"/>
      <c r="G662" s="94"/>
      <c r="H662" s="95"/>
      <c r="I662" s="66" t="str">
        <f t="shared" si="80"/>
        <v xml:space="preserve"> </v>
      </c>
      <c r="J662" s="67" t="str">
        <f t="shared" si="81"/>
        <v xml:space="preserve"> </v>
      </c>
      <c r="K662" s="68" t="str">
        <f t="shared" si="82"/>
        <v xml:space="preserve"> </v>
      </c>
      <c r="L662" s="67" t="str">
        <f t="shared" si="83"/>
        <v xml:space="preserve"> </v>
      </c>
      <c r="M662" s="61"/>
      <c r="N662" s="61"/>
      <c r="O662" s="61"/>
    </row>
    <row r="663" spans="1:17" ht="14.25" customHeight="1">
      <c r="A663" s="63"/>
      <c r="B663" s="63">
        <v>20</v>
      </c>
      <c r="C663" s="64"/>
      <c r="D663" s="65"/>
      <c r="E663" s="65"/>
      <c r="F663" s="93"/>
      <c r="G663" s="94"/>
      <c r="H663" s="95"/>
      <c r="I663" s="66" t="str">
        <f t="shared" si="80"/>
        <v xml:space="preserve"> </v>
      </c>
      <c r="J663" s="67" t="str">
        <f t="shared" si="81"/>
        <v xml:space="preserve"> </v>
      </c>
      <c r="K663" s="68" t="str">
        <f t="shared" si="82"/>
        <v xml:space="preserve"> </v>
      </c>
      <c r="L663" s="67" t="str">
        <f t="shared" si="83"/>
        <v xml:space="preserve"> </v>
      </c>
      <c r="M663" s="61"/>
      <c r="N663" s="61"/>
      <c r="O663" s="61"/>
    </row>
    <row r="664" spans="1:17" ht="14.25" customHeight="1">
      <c r="A664" s="63"/>
      <c r="B664" s="63">
        <v>21</v>
      </c>
      <c r="C664" s="64"/>
      <c r="D664" s="65"/>
      <c r="E664" s="65"/>
      <c r="F664" s="93"/>
      <c r="G664" s="94"/>
      <c r="H664" s="95"/>
      <c r="I664" s="66" t="str">
        <f t="shared" si="80"/>
        <v xml:space="preserve"> </v>
      </c>
      <c r="J664" s="67" t="str">
        <f t="shared" si="81"/>
        <v xml:space="preserve"> </v>
      </c>
      <c r="K664" s="68" t="str">
        <f t="shared" si="82"/>
        <v xml:space="preserve"> </v>
      </c>
      <c r="L664" s="67" t="str">
        <f t="shared" si="83"/>
        <v xml:space="preserve"> </v>
      </c>
      <c r="M664" s="61"/>
      <c r="N664" s="61"/>
      <c r="O664" s="61"/>
    </row>
    <row r="665" spans="1:17" ht="14.25" customHeight="1">
      <c r="A665" s="63"/>
      <c r="B665" s="63">
        <v>22</v>
      </c>
      <c r="C665" s="64"/>
      <c r="D665" s="65"/>
      <c r="E665" s="65"/>
      <c r="F665" s="93"/>
      <c r="G665" s="94"/>
      <c r="H665" s="95"/>
      <c r="I665" s="66" t="str">
        <f t="shared" si="80"/>
        <v xml:space="preserve"> </v>
      </c>
      <c r="J665" s="67" t="str">
        <f t="shared" si="81"/>
        <v xml:space="preserve"> </v>
      </c>
      <c r="K665" s="68" t="str">
        <f t="shared" si="82"/>
        <v xml:space="preserve"> </v>
      </c>
      <c r="L665" s="67" t="str">
        <f t="shared" si="83"/>
        <v xml:space="preserve"> </v>
      </c>
      <c r="M665" s="61"/>
      <c r="N665" s="61"/>
      <c r="O665" s="61"/>
    </row>
    <row r="666" spans="1:17" ht="14.25" customHeight="1">
      <c r="A666" s="63"/>
      <c r="B666" s="63">
        <v>23</v>
      </c>
      <c r="C666" s="64"/>
      <c r="D666" s="65"/>
      <c r="E666" s="65"/>
      <c r="F666" s="93"/>
      <c r="G666" s="94"/>
      <c r="H666" s="95"/>
      <c r="I666" s="66" t="str">
        <f t="shared" si="80"/>
        <v xml:space="preserve"> </v>
      </c>
      <c r="J666" s="67" t="str">
        <f t="shared" si="81"/>
        <v xml:space="preserve"> </v>
      </c>
      <c r="K666" s="68" t="str">
        <f t="shared" si="82"/>
        <v xml:space="preserve"> </v>
      </c>
      <c r="L666" s="67" t="str">
        <f t="shared" si="83"/>
        <v xml:space="preserve"> </v>
      </c>
      <c r="M666" s="61"/>
      <c r="N666" s="61"/>
      <c r="O666" s="61"/>
    </row>
    <row r="667" spans="1:17" ht="14.25" customHeight="1">
      <c r="A667" s="63"/>
      <c r="B667" s="63">
        <v>24</v>
      </c>
      <c r="C667" s="64"/>
      <c r="D667" s="65"/>
      <c r="E667" s="65"/>
      <c r="F667" s="93"/>
      <c r="G667" s="94"/>
      <c r="H667" s="95"/>
      <c r="I667" s="66" t="str">
        <f t="shared" si="80"/>
        <v xml:space="preserve"> </v>
      </c>
      <c r="J667" s="67" t="str">
        <f t="shared" si="81"/>
        <v xml:space="preserve"> </v>
      </c>
      <c r="K667" s="68" t="str">
        <f t="shared" si="82"/>
        <v xml:space="preserve"> </v>
      </c>
      <c r="L667" s="67" t="str">
        <f t="shared" si="83"/>
        <v xml:space="preserve"> </v>
      </c>
      <c r="M667" s="61"/>
      <c r="N667" s="61"/>
      <c r="O667" s="61"/>
    </row>
    <row r="668" spans="1:17" ht="14.25" customHeight="1">
      <c r="A668" s="63"/>
      <c r="B668" s="63">
        <v>25</v>
      </c>
      <c r="C668" s="87"/>
      <c r="D668" s="65"/>
      <c r="E668" s="65"/>
      <c r="F668" s="93"/>
      <c r="G668" s="94"/>
      <c r="H668" s="95"/>
      <c r="I668" s="66" t="str">
        <f t="shared" si="80"/>
        <v xml:space="preserve"> </v>
      </c>
      <c r="J668" s="67" t="str">
        <f t="shared" si="81"/>
        <v xml:space="preserve"> </v>
      </c>
      <c r="K668" s="68" t="str">
        <f t="shared" si="82"/>
        <v xml:space="preserve"> </v>
      </c>
      <c r="L668" s="67" t="str">
        <f t="shared" si="83"/>
        <v xml:space="preserve"> </v>
      </c>
      <c r="M668" s="61"/>
      <c r="N668" s="61"/>
      <c r="O668" s="61"/>
    </row>
    <row r="669" spans="1:17" ht="14.25" customHeight="1">
      <c r="A669" s="99" t="s">
        <v>35</v>
      </c>
      <c r="B669" s="84">
        <f>COUNT(I644:I668)</f>
        <v>0</v>
      </c>
      <c r="C669" s="84">
        <f>COUNT(K644:K668)</f>
        <v>0</v>
      </c>
      <c r="D669" s="84">
        <f>SUM(E644:E668)*2</f>
        <v>0</v>
      </c>
      <c r="E669" s="84"/>
      <c r="F669" s="84"/>
      <c r="G669" s="84"/>
      <c r="H669" s="84"/>
      <c r="I669" s="96" t="s">
        <v>36</v>
      </c>
      <c r="J669" s="97"/>
      <c r="K669" s="98" t="s">
        <v>37</v>
      </c>
      <c r="L669" s="97"/>
      <c r="M669" s="61"/>
      <c r="N669" s="61"/>
      <c r="O669" s="61"/>
    </row>
    <row r="670" spans="1:17" ht="14.25" customHeight="1">
      <c r="A670" s="105"/>
      <c r="B670" s="85"/>
      <c r="C670" s="85"/>
      <c r="D670" s="85"/>
      <c r="E670" s="85"/>
      <c r="F670" s="85"/>
      <c r="G670" s="85"/>
      <c r="H670" s="85"/>
      <c r="I670" s="99">
        <f>I638</f>
        <v>15</v>
      </c>
      <c r="J670" s="100"/>
      <c r="K670" s="103">
        <f>I670*D669*1.07</f>
        <v>0</v>
      </c>
      <c r="L670" s="100"/>
    </row>
    <row r="671" spans="1:17" ht="15.75" customHeight="1">
      <c r="A671" s="101"/>
      <c r="B671" s="86"/>
      <c r="C671" s="86"/>
      <c r="D671" s="86"/>
      <c r="E671" s="86"/>
      <c r="F671" s="86"/>
      <c r="G671" s="86"/>
      <c r="H671" s="86"/>
      <c r="I671" s="101"/>
      <c r="J671" s="102"/>
      <c r="K671" s="104"/>
      <c r="L671" s="102"/>
    </row>
    <row r="672" spans="1:17" ht="14.25" customHeight="1"/>
    <row r="673" spans="1:18" ht="14.25" customHeight="1"/>
    <row r="674" spans="1:18" ht="14.25" customHeight="1">
      <c r="A674" s="106" t="s">
        <v>2</v>
      </c>
      <c r="B674" s="107"/>
      <c r="C674" s="107"/>
      <c r="D674" s="107"/>
      <c r="E674" s="97"/>
      <c r="F674" s="106" t="s">
        <v>3</v>
      </c>
      <c r="G674" s="107"/>
      <c r="H674" s="97"/>
      <c r="I674" s="108" t="s">
        <v>4</v>
      </c>
      <c r="J674" s="109"/>
      <c r="K674" s="110" t="s">
        <v>5</v>
      </c>
      <c r="L674" s="109"/>
      <c r="O674" s="111" t="s">
        <v>7</v>
      </c>
      <c r="P674" s="107"/>
      <c r="Q674" s="107"/>
      <c r="R674" s="97"/>
    </row>
    <row r="675" spans="1:18" ht="14.25" customHeight="1">
      <c r="A675" s="55" t="s">
        <v>8</v>
      </c>
      <c r="B675" s="55" t="s">
        <v>9</v>
      </c>
      <c r="C675" s="55" t="s">
        <v>10</v>
      </c>
      <c r="D675" s="56" t="s">
        <v>11</v>
      </c>
      <c r="E675" s="57" t="s">
        <v>12</v>
      </c>
      <c r="F675" s="117" t="s">
        <v>11</v>
      </c>
      <c r="G675" s="104"/>
      <c r="H675" s="102"/>
      <c r="I675" s="58" t="s">
        <v>13</v>
      </c>
      <c r="J675" s="59" t="s">
        <v>14</v>
      </c>
      <c r="K675" s="60" t="s">
        <v>13</v>
      </c>
      <c r="L675" s="59" t="s">
        <v>14</v>
      </c>
      <c r="M675" s="61"/>
      <c r="N675" s="61"/>
      <c r="O675" s="112" t="s">
        <v>15</v>
      </c>
      <c r="P675" s="113"/>
      <c r="Q675" s="113"/>
      <c r="R675" s="114"/>
    </row>
    <row r="676" spans="1:18" ht="14.25" customHeight="1">
      <c r="A676" s="62">
        <v>42370</v>
      </c>
      <c r="B676" s="63">
        <v>1</v>
      </c>
      <c r="C676" s="64"/>
      <c r="D676" s="65"/>
      <c r="E676" s="65"/>
      <c r="F676" s="118"/>
      <c r="G676" s="119"/>
      <c r="H676" s="109"/>
      <c r="I676" s="66" t="str">
        <f t="shared" ref="I676:I700" si="84">IF(C676="L",IF(F676-D676&gt;0,F676-D676," "),IF(D676-F676&gt;0,D676-F676," "))</f>
        <v xml:space="preserve"> </v>
      </c>
      <c r="J676" s="67" t="str">
        <f t="shared" ref="J676:J700" si="85">IF(C676="L",IF(F676-D676&gt;0,(F676-D676)*200*E676," "),IF(D676-F676&gt;0,(D676-F676)*200*E676," "))</f>
        <v xml:space="preserve"> </v>
      </c>
      <c r="K676" s="68" t="str">
        <f t="shared" ref="K676:K700" si="86">IF(C676="L",IF(F676-D676&lt;0,F676-D676," "),IF(D676-F676&lt;0,D676-F676," "))</f>
        <v xml:space="preserve"> </v>
      </c>
      <c r="L676" s="67" t="str">
        <f t="shared" ref="L676:L700" si="87">IF(C676="L",IF(F676-D676&lt;0,(F676-D676)*200*E676," "),IF(D676-F676&lt;0,(D676-F676)*200*E676," "))</f>
        <v xml:space="preserve"> </v>
      </c>
      <c r="M676" s="61"/>
      <c r="N676" s="61"/>
      <c r="O676" s="22" t="s">
        <v>19</v>
      </c>
      <c r="P676" s="23">
        <f>B701+C701</f>
        <v>0</v>
      </c>
      <c r="Q676" s="115"/>
      <c r="R676" s="116"/>
    </row>
    <row r="677" spans="1:18" ht="14.25" customHeight="1">
      <c r="A677" s="63"/>
      <c r="B677" s="63">
        <v>2</v>
      </c>
      <c r="C677" s="64"/>
      <c r="D677" s="65"/>
      <c r="E677" s="65"/>
      <c r="F677" s="93"/>
      <c r="G677" s="94"/>
      <c r="H677" s="95"/>
      <c r="I677" s="66" t="str">
        <f t="shared" si="84"/>
        <v xml:space="preserve"> </v>
      </c>
      <c r="J677" s="67" t="str">
        <f t="shared" si="85"/>
        <v xml:space="preserve"> </v>
      </c>
      <c r="K677" s="68" t="str">
        <f t="shared" si="86"/>
        <v xml:space="preserve"> </v>
      </c>
      <c r="L677" s="67" t="str">
        <f t="shared" si="87"/>
        <v xml:space="preserve"> </v>
      </c>
      <c r="M677" s="61"/>
      <c r="N677" s="61"/>
      <c r="O677" s="70" t="s">
        <v>20</v>
      </c>
      <c r="P677" s="71" t="e">
        <f>B701/P676*100</f>
        <v>#DIV/0!</v>
      </c>
      <c r="Q677" s="72" t="s">
        <v>21</v>
      </c>
      <c r="R677" s="73" t="e">
        <f>C701/P676*100</f>
        <v>#DIV/0!</v>
      </c>
    </row>
    <row r="678" spans="1:18" ht="14.25" customHeight="1">
      <c r="A678" s="63"/>
      <c r="B678" s="63">
        <v>3</v>
      </c>
      <c r="C678" s="64"/>
      <c r="D678" s="65"/>
      <c r="E678" s="65"/>
      <c r="F678" s="93"/>
      <c r="G678" s="94"/>
      <c r="H678" s="95"/>
      <c r="I678" s="66" t="str">
        <f t="shared" si="84"/>
        <v xml:space="preserve"> </v>
      </c>
      <c r="J678" s="67" t="str">
        <f t="shared" si="85"/>
        <v xml:space="preserve"> </v>
      </c>
      <c r="K678" s="68" t="str">
        <f t="shared" si="86"/>
        <v xml:space="preserve"> </v>
      </c>
      <c r="L678" s="67" t="str">
        <f t="shared" si="87"/>
        <v xml:space="preserve"> </v>
      </c>
      <c r="M678" s="61"/>
      <c r="N678" s="61"/>
      <c r="O678" s="70" t="s">
        <v>22</v>
      </c>
      <c r="P678" s="74" t="e">
        <f>SUM(I676:I700)/B701</f>
        <v>#DIV/0!</v>
      </c>
      <c r="Q678" s="72" t="s">
        <v>23</v>
      </c>
      <c r="R678" s="75" t="e">
        <f>SUM(K676:K700)/C701</f>
        <v>#DIV/0!</v>
      </c>
    </row>
    <row r="679" spans="1:18" ht="14.25" customHeight="1">
      <c r="A679" s="63"/>
      <c r="B679" s="63">
        <v>4</v>
      </c>
      <c r="C679" s="64"/>
      <c r="D679" s="65"/>
      <c r="E679" s="65"/>
      <c r="F679" s="93"/>
      <c r="G679" s="94"/>
      <c r="H679" s="95"/>
      <c r="I679" s="66" t="str">
        <f t="shared" si="84"/>
        <v xml:space="preserve"> </v>
      </c>
      <c r="J679" s="67" t="str">
        <f t="shared" si="85"/>
        <v xml:space="preserve"> </v>
      </c>
      <c r="K679" s="68" t="str">
        <f t="shared" si="86"/>
        <v xml:space="preserve"> </v>
      </c>
      <c r="L679" s="67" t="str">
        <f t="shared" si="87"/>
        <v xml:space="preserve"> </v>
      </c>
      <c r="M679" s="61"/>
      <c r="N679" s="61"/>
      <c r="O679" s="76" t="s">
        <v>24</v>
      </c>
      <c r="P679" s="77">
        <f>SUM(J676:J700)</f>
        <v>0</v>
      </c>
      <c r="Q679" s="78" t="s">
        <v>25</v>
      </c>
      <c r="R679" s="79">
        <f>SUM(L676:L700)</f>
        <v>0</v>
      </c>
    </row>
    <row r="680" spans="1:18" ht="14.25" customHeight="1">
      <c r="A680" s="63"/>
      <c r="B680" s="63">
        <v>5</v>
      </c>
      <c r="C680" s="64"/>
      <c r="D680" s="65"/>
      <c r="E680" s="65"/>
      <c r="F680" s="93"/>
      <c r="G680" s="94"/>
      <c r="H680" s="95"/>
      <c r="I680" s="66" t="str">
        <f t="shared" si="84"/>
        <v xml:space="preserve"> </v>
      </c>
      <c r="J680" s="67" t="str">
        <f t="shared" si="85"/>
        <v xml:space="preserve"> </v>
      </c>
      <c r="K680" s="68" t="str">
        <f t="shared" si="86"/>
        <v xml:space="preserve"> </v>
      </c>
      <c r="L680" s="67" t="str">
        <f t="shared" si="87"/>
        <v xml:space="preserve"> </v>
      </c>
      <c r="M680" s="61"/>
      <c r="N680" s="61"/>
      <c r="O680" s="128" t="s">
        <v>26</v>
      </c>
      <c r="P680" s="119"/>
      <c r="Q680" s="119"/>
      <c r="R680" s="109"/>
    </row>
    <row r="681" spans="1:18" ht="14.25" customHeight="1">
      <c r="A681" s="63"/>
      <c r="B681" s="63">
        <v>6</v>
      </c>
      <c r="C681" s="64"/>
      <c r="D681" s="65"/>
      <c r="E681" s="65"/>
      <c r="F681" s="93"/>
      <c r="G681" s="94"/>
      <c r="H681" s="95"/>
      <c r="I681" s="66" t="str">
        <f t="shared" si="84"/>
        <v xml:space="preserve"> </v>
      </c>
      <c r="J681" s="67" t="str">
        <f t="shared" si="85"/>
        <v xml:space="preserve"> </v>
      </c>
      <c r="K681" s="68" t="str">
        <f t="shared" si="86"/>
        <v xml:space="preserve"> </v>
      </c>
      <c r="L681" s="67" t="str">
        <f t="shared" si="87"/>
        <v xml:space="preserve"> </v>
      </c>
      <c r="M681" s="61"/>
      <c r="N681" s="61"/>
      <c r="O681" s="129" t="s">
        <v>27</v>
      </c>
      <c r="P681" s="131">
        <f>P679+R679-K702</f>
        <v>0</v>
      </c>
      <c r="Q681" s="129" t="s">
        <v>28</v>
      </c>
      <c r="R681" s="133" t="e">
        <f>K702/P681</f>
        <v>#DIV/0!</v>
      </c>
    </row>
    <row r="682" spans="1:18" ht="14.25" customHeight="1">
      <c r="A682" s="63"/>
      <c r="B682" s="63">
        <v>7</v>
      </c>
      <c r="C682" s="64"/>
      <c r="D682" s="65"/>
      <c r="E682" s="65"/>
      <c r="F682" s="93"/>
      <c r="G682" s="94"/>
      <c r="H682" s="95"/>
      <c r="I682" s="66" t="str">
        <f t="shared" si="84"/>
        <v xml:space="preserve"> </v>
      </c>
      <c r="J682" s="67" t="str">
        <f t="shared" si="85"/>
        <v xml:space="preserve"> </v>
      </c>
      <c r="K682" s="68" t="str">
        <f t="shared" si="86"/>
        <v xml:space="preserve"> </v>
      </c>
      <c r="L682" s="67" t="str">
        <f t="shared" si="87"/>
        <v xml:space="preserve"> </v>
      </c>
      <c r="M682" s="61"/>
      <c r="N682" s="61"/>
      <c r="O682" s="130"/>
      <c r="P682" s="132"/>
      <c r="Q682" s="130"/>
      <c r="R682" s="132"/>
    </row>
    <row r="683" spans="1:18" ht="14.25" customHeight="1">
      <c r="A683" s="63"/>
      <c r="B683" s="63">
        <v>8</v>
      </c>
      <c r="C683" s="64"/>
      <c r="D683" s="65"/>
      <c r="E683" s="65"/>
      <c r="F683" s="93"/>
      <c r="G683" s="94"/>
      <c r="H683" s="95"/>
      <c r="I683" s="66" t="str">
        <f t="shared" si="84"/>
        <v xml:space="preserve"> </v>
      </c>
      <c r="J683" s="67" t="str">
        <f t="shared" si="85"/>
        <v xml:space="preserve"> </v>
      </c>
      <c r="K683" s="68" t="str">
        <f t="shared" si="86"/>
        <v xml:space="preserve"> </v>
      </c>
      <c r="L683" s="67" t="str">
        <f t="shared" si="87"/>
        <v xml:space="preserve"> </v>
      </c>
      <c r="M683" s="61"/>
      <c r="N683" s="61"/>
      <c r="O683" s="124" t="s">
        <v>29</v>
      </c>
      <c r="P683" s="125"/>
      <c r="Q683" s="100"/>
      <c r="R683" s="126" t="e">
        <f>IF(R679&lt;0,((P677*P678/100)+(R677*R678/100)),P678)</f>
        <v>#DIV/0!</v>
      </c>
    </row>
    <row r="684" spans="1:18" ht="14.25" customHeight="1">
      <c r="A684" s="63"/>
      <c r="B684" s="63">
        <v>9</v>
      </c>
      <c r="C684" s="64"/>
      <c r="D684" s="65"/>
      <c r="E684" s="65"/>
      <c r="F684" s="93"/>
      <c r="G684" s="94"/>
      <c r="H684" s="95"/>
      <c r="I684" s="66" t="str">
        <f t="shared" si="84"/>
        <v xml:space="preserve"> </v>
      </c>
      <c r="J684" s="67" t="str">
        <f t="shared" si="85"/>
        <v xml:space="preserve"> </v>
      </c>
      <c r="K684" s="68" t="str">
        <f t="shared" si="86"/>
        <v xml:space="preserve"> </v>
      </c>
      <c r="L684" s="67" t="str">
        <f t="shared" si="87"/>
        <v xml:space="preserve"> </v>
      </c>
      <c r="M684" s="61"/>
      <c r="N684" s="61"/>
      <c r="O684" s="101"/>
      <c r="P684" s="104"/>
      <c r="Q684" s="102"/>
      <c r="R684" s="127"/>
    </row>
    <row r="685" spans="1:18" ht="14.25" customHeight="1">
      <c r="A685" s="63"/>
      <c r="B685" s="63">
        <v>10</v>
      </c>
      <c r="C685" s="64"/>
      <c r="D685" s="65"/>
      <c r="E685" s="65"/>
      <c r="F685" s="93"/>
      <c r="G685" s="94"/>
      <c r="H685" s="95"/>
      <c r="I685" s="66" t="str">
        <f t="shared" si="84"/>
        <v xml:space="preserve"> </v>
      </c>
      <c r="J685" s="67" t="str">
        <f t="shared" si="85"/>
        <v xml:space="preserve"> </v>
      </c>
      <c r="K685" s="68" t="str">
        <f t="shared" si="86"/>
        <v xml:space="preserve"> </v>
      </c>
      <c r="L685" s="67" t="str">
        <f t="shared" si="87"/>
        <v xml:space="preserve"> </v>
      </c>
      <c r="M685" s="61"/>
      <c r="N685" s="61"/>
    </row>
    <row r="686" spans="1:18" ht="14.25" customHeight="1">
      <c r="A686" s="63"/>
      <c r="B686" s="63">
        <v>11</v>
      </c>
      <c r="C686" s="64"/>
      <c r="D686" s="65"/>
      <c r="E686" s="65"/>
      <c r="F686" s="93"/>
      <c r="G686" s="94"/>
      <c r="H686" s="95"/>
      <c r="I686" s="66" t="str">
        <f t="shared" si="84"/>
        <v xml:space="preserve"> </v>
      </c>
      <c r="J686" s="67" t="str">
        <f t="shared" si="85"/>
        <v xml:space="preserve"> </v>
      </c>
      <c r="K686" s="68" t="str">
        <f t="shared" si="86"/>
        <v xml:space="preserve"> </v>
      </c>
      <c r="L686" s="67" t="str">
        <f t="shared" si="87"/>
        <v xml:space="preserve"> </v>
      </c>
      <c r="M686" s="61"/>
      <c r="N686" s="61"/>
      <c r="O686" s="134" t="s">
        <v>30</v>
      </c>
      <c r="P686" s="107"/>
      <c r="Q686" s="97"/>
    </row>
    <row r="687" spans="1:18" ht="14.25" customHeight="1">
      <c r="A687" s="63"/>
      <c r="B687" s="63">
        <v>12</v>
      </c>
      <c r="C687" s="64"/>
      <c r="D687" s="65"/>
      <c r="E687" s="65"/>
      <c r="F687" s="93"/>
      <c r="G687" s="94"/>
      <c r="H687" s="95"/>
      <c r="I687" s="66" t="str">
        <f t="shared" si="84"/>
        <v xml:space="preserve"> </v>
      </c>
      <c r="J687" s="67" t="str">
        <f t="shared" si="85"/>
        <v xml:space="preserve"> </v>
      </c>
      <c r="K687" s="68" t="str">
        <f t="shared" si="86"/>
        <v xml:space="preserve"> </v>
      </c>
      <c r="L687" s="67" t="str">
        <f t="shared" si="87"/>
        <v xml:space="preserve"> </v>
      </c>
      <c r="M687" s="61"/>
      <c r="N687" s="61"/>
      <c r="O687" s="80" t="s">
        <v>31</v>
      </c>
      <c r="P687" s="135">
        <f>MAX(I676:I700)</f>
        <v>0</v>
      </c>
      <c r="Q687" s="95"/>
    </row>
    <row r="688" spans="1:18" ht="14.25" customHeight="1">
      <c r="A688" s="63"/>
      <c r="B688" s="63">
        <v>13</v>
      </c>
      <c r="C688" s="64"/>
      <c r="D688" s="65"/>
      <c r="E688" s="65"/>
      <c r="F688" s="93"/>
      <c r="G688" s="94"/>
      <c r="H688" s="95"/>
      <c r="I688" s="66" t="str">
        <f t="shared" si="84"/>
        <v xml:space="preserve"> </v>
      </c>
      <c r="J688" s="67" t="str">
        <f t="shared" si="85"/>
        <v xml:space="preserve"> </v>
      </c>
      <c r="K688" s="68" t="str">
        <f t="shared" si="86"/>
        <v xml:space="preserve"> </v>
      </c>
      <c r="L688" s="67" t="str">
        <f t="shared" si="87"/>
        <v xml:space="preserve"> </v>
      </c>
      <c r="M688" s="61"/>
      <c r="N688" s="61"/>
      <c r="O688" s="81" t="s">
        <v>32</v>
      </c>
      <c r="P688" s="123">
        <f>MAX(J676:J700)</f>
        <v>0</v>
      </c>
      <c r="Q688" s="95"/>
    </row>
    <row r="689" spans="1:17" ht="14.25" customHeight="1">
      <c r="A689" s="63"/>
      <c r="B689" s="63">
        <v>14</v>
      </c>
      <c r="C689" s="64"/>
      <c r="D689" s="65"/>
      <c r="E689" s="65"/>
      <c r="F689" s="93"/>
      <c r="G689" s="94"/>
      <c r="H689" s="95"/>
      <c r="I689" s="66" t="str">
        <f t="shared" si="84"/>
        <v xml:space="preserve"> </v>
      </c>
      <c r="J689" s="67" t="str">
        <f t="shared" si="85"/>
        <v xml:space="preserve"> </v>
      </c>
      <c r="K689" s="68" t="str">
        <f t="shared" si="86"/>
        <v xml:space="preserve"> </v>
      </c>
      <c r="L689" s="67" t="str">
        <f t="shared" si="87"/>
        <v xml:space="preserve"> </v>
      </c>
      <c r="M689" s="61"/>
      <c r="N689" s="61"/>
      <c r="O689" s="82" t="s">
        <v>33</v>
      </c>
      <c r="P689" s="120">
        <f>MIN(K676:K700)</f>
        <v>0</v>
      </c>
      <c r="Q689" s="95"/>
    </row>
    <row r="690" spans="1:17" ht="14.25" customHeight="1">
      <c r="A690" s="63"/>
      <c r="B690" s="63">
        <v>15</v>
      </c>
      <c r="C690" s="64"/>
      <c r="D690" s="65"/>
      <c r="E690" s="65"/>
      <c r="F690" s="93"/>
      <c r="G690" s="94"/>
      <c r="H690" s="95"/>
      <c r="I690" s="66" t="str">
        <f t="shared" si="84"/>
        <v xml:space="preserve"> </v>
      </c>
      <c r="J690" s="67" t="str">
        <f t="shared" si="85"/>
        <v xml:space="preserve"> </v>
      </c>
      <c r="K690" s="68" t="str">
        <f t="shared" si="86"/>
        <v xml:space="preserve"> </v>
      </c>
      <c r="L690" s="67" t="str">
        <f t="shared" si="87"/>
        <v xml:space="preserve"> </v>
      </c>
      <c r="M690" s="61"/>
      <c r="N690" s="61"/>
      <c r="O690" s="83" t="s">
        <v>34</v>
      </c>
      <c r="P690" s="121">
        <f>MIN(L676:L700)</f>
        <v>0</v>
      </c>
      <c r="Q690" s="122"/>
    </row>
    <row r="691" spans="1:17" ht="14.25" customHeight="1">
      <c r="A691" s="63"/>
      <c r="B691" s="63">
        <v>16</v>
      </c>
      <c r="C691" s="64"/>
      <c r="D691" s="65"/>
      <c r="E691" s="65"/>
      <c r="F691" s="93"/>
      <c r="G691" s="94"/>
      <c r="H691" s="95"/>
      <c r="I691" s="66" t="str">
        <f t="shared" si="84"/>
        <v xml:space="preserve"> </v>
      </c>
      <c r="J691" s="67" t="str">
        <f t="shared" si="85"/>
        <v xml:space="preserve"> </v>
      </c>
      <c r="K691" s="68" t="str">
        <f t="shared" si="86"/>
        <v xml:space="preserve"> </v>
      </c>
      <c r="L691" s="67" t="str">
        <f t="shared" si="87"/>
        <v xml:space="preserve"> </v>
      </c>
      <c r="M691" s="61"/>
      <c r="N691" s="61"/>
      <c r="O691" s="61"/>
    </row>
    <row r="692" spans="1:17" ht="14.25" customHeight="1">
      <c r="A692" s="63"/>
      <c r="B692" s="63">
        <v>17</v>
      </c>
      <c r="C692" s="64"/>
      <c r="D692" s="65"/>
      <c r="E692" s="65"/>
      <c r="F692" s="93"/>
      <c r="G692" s="94"/>
      <c r="H692" s="95"/>
      <c r="I692" s="66" t="str">
        <f t="shared" si="84"/>
        <v xml:space="preserve"> </v>
      </c>
      <c r="J692" s="67" t="str">
        <f t="shared" si="85"/>
        <v xml:space="preserve"> </v>
      </c>
      <c r="K692" s="68" t="str">
        <f t="shared" si="86"/>
        <v xml:space="preserve"> </v>
      </c>
      <c r="L692" s="67" t="str">
        <f t="shared" si="87"/>
        <v xml:space="preserve"> </v>
      </c>
      <c r="M692" s="61"/>
      <c r="N692" s="61"/>
      <c r="O692" s="61"/>
    </row>
    <row r="693" spans="1:17" ht="14.25" customHeight="1">
      <c r="A693" s="63"/>
      <c r="B693" s="63">
        <v>18</v>
      </c>
      <c r="C693" s="64"/>
      <c r="D693" s="65"/>
      <c r="E693" s="65"/>
      <c r="F693" s="93"/>
      <c r="G693" s="94"/>
      <c r="H693" s="95"/>
      <c r="I693" s="66" t="str">
        <f t="shared" si="84"/>
        <v xml:space="preserve"> </v>
      </c>
      <c r="J693" s="67" t="str">
        <f t="shared" si="85"/>
        <v xml:space="preserve"> </v>
      </c>
      <c r="K693" s="68" t="str">
        <f t="shared" si="86"/>
        <v xml:space="preserve"> </v>
      </c>
      <c r="L693" s="67" t="str">
        <f t="shared" si="87"/>
        <v xml:space="preserve"> </v>
      </c>
      <c r="M693" s="61"/>
      <c r="N693" s="61"/>
      <c r="O693" s="61"/>
    </row>
    <row r="694" spans="1:17" ht="14.25" customHeight="1">
      <c r="A694" s="63"/>
      <c r="B694" s="63">
        <v>19</v>
      </c>
      <c r="C694" s="64"/>
      <c r="D694" s="65"/>
      <c r="E694" s="65"/>
      <c r="F694" s="93"/>
      <c r="G694" s="94"/>
      <c r="H694" s="95"/>
      <c r="I694" s="66" t="str">
        <f t="shared" si="84"/>
        <v xml:space="preserve"> </v>
      </c>
      <c r="J694" s="67" t="str">
        <f t="shared" si="85"/>
        <v xml:space="preserve"> </v>
      </c>
      <c r="K694" s="68" t="str">
        <f t="shared" si="86"/>
        <v xml:space="preserve"> </v>
      </c>
      <c r="L694" s="67" t="str">
        <f t="shared" si="87"/>
        <v xml:space="preserve"> </v>
      </c>
      <c r="M694" s="61"/>
      <c r="N694" s="61"/>
      <c r="O694" s="61"/>
    </row>
    <row r="695" spans="1:17" ht="14.25" customHeight="1">
      <c r="A695" s="63"/>
      <c r="B695" s="63">
        <v>20</v>
      </c>
      <c r="C695" s="64"/>
      <c r="D695" s="65"/>
      <c r="E695" s="65"/>
      <c r="F695" s="93"/>
      <c r="G695" s="94"/>
      <c r="H695" s="95"/>
      <c r="I695" s="66" t="str">
        <f t="shared" si="84"/>
        <v xml:space="preserve"> </v>
      </c>
      <c r="J695" s="67" t="str">
        <f t="shared" si="85"/>
        <v xml:space="preserve"> </v>
      </c>
      <c r="K695" s="68" t="str">
        <f t="shared" si="86"/>
        <v xml:space="preserve"> </v>
      </c>
      <c r="L695" s="67" t="str">
        <f t="shared" si="87"/>
        <v xml:space="preserve"> </v>
      </c>
      <c r="M695" s="61"/>
      <c r="N695" s="61"/>
      <c r="O695" s="61"/>
    </row>
    <row r="696" spans="1:17" ht="14.25" customHeight="1">
      <c r="A696" s="63"/>
      <c r="B696" s="63">
        <v>21</v>
      </c>
      <c r="C696" s="64"/>
      <c r="D696" s="65"/>
      <c r="E696" s="65"/>
      <c r="F696" s="93"/>
      <c r="G696" s="94"/>
      <c r="H696" s="95"/>
      <c r="I696" s="66" t="str">
        <f t="shared" si="84"/>
        <v xml:space="preserve"> </v>
      </c>
      <c r="J696" s="67" t="str">
        <f t="shared" si="85"/>
        <v xml:space="preserve"> </v>
      </c>
      <c r="K696" s="68" t="str">
        <f t="shared" si="86"/>
        <v xml:space="preserve"> </v>
      </c>
      <c r="L696" s="67" t="str">
        <f t="shared" si="87"/>
        <v xml:space="preserve"> </v>
      </c>
      <c r="M696" s="61"/>
      <c r="N696" s="61"/>
      <c r="O696" s="61"/>
    </row>
    <row r="697" spans="1:17" ht="14.25" customHeight="1">
      <c r="A697" s="63"/>
      <c r="B697" s="63">
        <v>22</v>
      </c>
      <c r="C697" s="64"/>
      <c r="D697" s="65"/>
      <c r="E697" s="65"/>
      <c r="F697" s="93"/>
      <c r="G697" s="94"/>
      <c r="H697" s="95"/>
      <c r="I697" s="66" t="str">
        <f t="shared" si="84"/>
        <v xml:space="preserve"> </v>
      </c>
      <c r="J697" s="67" t="str">
        <f t="shared" si="85"/>
        <v xml:space="preserve"> </v>
      </c>
      <c r="K697" s="68" t="str">
        <f t="shared" si="86"/>
        <v xml:space="preserve"> </v>
      </c>
      <c r="L697" s="67" t="str">
        <f t="shared" si="87"/>
        <v xml:space="preserve"> </v>
      </c>
      <c r="M697" s="61"/>
      <c r="N697" s="61"/>
      <c r="O697" s="61"/>
    </row>
    <row r="698" spans="1:17" ht="14.25" customHeight="1">
      <c r="A698" s="63"/>
      <c r="B698" s="63">
        <v>23</v>
      </c>
      <c r="C698" s="64"/>
      <c r="D698" s="65"/>
      <c r="E698" s="65"/>
      <c r="F698" s="93"/>
      <c r="G698" s="94"/>
      <c r="H698" s="95"/>
      <c r="I698" s="66" t="str">
        <f t="shared" si="84"/>
        <v xml:space="preserve"> </v>
      </c>
      <c r="J698" s="67" t="str">
        <f t="shared" si="85"/>
        <v xml:space="preserve"> </v>
      </c>
      <c r="K698" s="68" t="str">
        <f t="shared" si="86"/>
        <v xml:space="preserve"> </v>
      </c>
      <c r="L698" s="67" t="str">
        <f t="shared" si="87"/>
        <v xml:space="preserve"> </v>
      </c>
      <c r="M698" s="61"/>
      <c r="N698" s="61"/>
      <c r="O698" s="61"/>
    </row>
    <row r="699" spans="1:17" ht="14.25" customHeight="1">
      <c r="A699" s="63"/>
      <c r="B699" s="63">
        <v>24</v>
      </c>
      <c r="C699" s="64"/>
      <c r="D699" s="65"/>
      <c r="E699" s="65"/>
      <c r="F699" s="93"/>
      <c r="G699" s="94"/>
      <c r="H699" s="95"/>
      <c r="I699" s="66" t="str">
        <f t="shared" si="84"/>
        <v xml:space="preserve"> </v>
      </c>
      <c r="J699" s="67" t="str">
        <f t="shared" si="85"/>
        <v xml:space="preserve"> </v>
      </c>
      <c r="K699" s="68" t="str">
        <f t="shared" si="86"/>
        <v xml:space="preserve"> </v>
      </c>
      <c r="L699" s="67" t="str">
        <f t="shared" si="87"/>
        <v xml:space="preserve"> </v>
      </c>
      <c r="M699" s="61"/>
      <c r="N699" s="61"/>
      <c r="O699" s="61"/>
    </row>
    <row r="700" spans="1:17" ht="14.25" customHeight="1">
      <c r="A700" s="63"/>
      <c r="B700" s="63">
        <v>25</v>
      </c>
      <c r="C700" s="87"/>
      <c r="D700" s="65"/>
      <c r="E700" s="65"/>
      <c r="F700" s="93"/>
      <c r="G700" s="94"/>
      <c r="H700" s="95"/>
      <c r="I700" s="66" t="str">
        <f t="shared" si="84"/>
        <v xml:space="preserve"> </v>
      </c>
      <c r="J700" s="67" t="str">
        <f t="shared" si="85"/>
        <v xml:space="preserve"> </v>
      </c>
      <c r="K700" s="68" t="str">
        <f t="shared" si="86"/>
        <v xml:space="preserve"> </v>
      </c>
      <c r="L700" s="67" t="str">
        <f t="shared" si="87"/>
        <v xml:space="preserve"> </v>
      </c>
      <c r="M700" s="61"/>
      <c r="N700" s="61"/>
      <c r="O700" s="61"/>
    </row>
    <row r="701" spans="1:17" ht="14.25" customHeight="1">
      <c r="A701" s="99" t="s">
        <v>35</v>
      </c>
      <c r="B701" s="84">
        <f>COUNT(I676:I700)</f>
        <v>0</v>
      </c>
      <c r="C701" s="84">
        <f>COUNT(K676:K700)</f>
        <v>0</v>
      </c>
      <c r="D701" s="84">
        <f>SUM(E676:E700)*2</f>
        <v>0</v>
      </c>
      <c r="E701" s="84"/>
      <c r="F701" s="84"/>
      <c r="G701" s="84"/>
      <c r="H701" s="84"/>
      <c r="I701" s="96" t="s">
        <v>36</v>
      </c>
      <c r="J701" s="97"/>
      <c r="K701" s="98" t="s">
        <v>37</v>
      </c>
      <c r="L701" s="97"/>
      <c r="M701" s="61"/>
      <c r="N701" s="61"/>
      <c r="O701" s="61"/>
    </row>
    <row r="702" spans="1:17" ht="14.25" customHeight="1">
      <c r="A702" s="105"/>
      <c r="B702" s="85"/>
      <c r="C702" s="85"/>
      <c r="D702" s="85"/>
      <c r="E702" s="85"/>
      <c r="F702" s="85"/>
      <c r="G702" s="85"/>
      <c r="H702" s="85"/>
      <c r="I702" s="99">
        <f>I670</f>
        <v>15</v>
      </c>
      <c r="J702" s="100"/>
      <c r="K702" s="103">
        <f>I702*D701*1.07</f>
        <v>0</v>
      </c>
      <c r="L702" s="100"/>
    </row>
    <row r="703" spans="1:17" ht="15.75" customHeight="1">
      <c r="A703" s="101"/>
      <c r="B703" s="86"/>
      <c r="C703" s="86"/>
      <c r="D703" s="86"/>
      <c r="E703" s="86"/>
      <c r="F703" s="86"/>
      <c r="G703" s="86"/>
      <c r="H703" s="86"/>
      <c r="I703" s="101"/>
      <c r="J703" s="102"/>
      <c r="K703" s="104"/>
      <c r="L703" s="102"/>
    </row>
    <row r="704" spans="1:17" ht="14.25" customHeight="1"/>
    <row r="705" spans="1:18" ht="14.25" customHeight="1"/>
    <row r="706" spans="1:18" ht="14.25" customHeight="1">
      <c r="A706" s="106" t="s">
        <v>2</v>
      </c>
      <c r="B706" s="107"/>
      <c r="C706" s="107"/>
      <c r="D706" s="107"/>
      <c r="E706" s="97"/>
      <c r="F706" s="106" t="s">
        <v>3</v>
      </c>
      <c r="G706" s="107"/>
      <c r="H706" s="97"/>
      <c r="I706" s="108" t="s">
        <v>4</v>
      </c>
      <c r="J706" s="109"/>
      <c r="K706" s="110" t="s">
        <v>5</v>
      </c>
      <c r="L706" s="109"/>
      <c r="O706" s="111" t="s">
        <v>7</v>
      </c>
      <c r="P706" s="107"/>
      <c r="Q706" s="107"/>
      <c r="R706" s="97"/>
    </row>
    <row r="707" spans="1:18" ht="14.25" customHeight="1">
      <c r="A707" s="55" t="s">
        <v>8</v>
      </c>
      <c r="B707" s="55" t="s">
        <v>9</v>
      </c>
      <c r="C707" s="55" t="s">
        <v>10</v>
      </c>
      <c r="D707" s="56" t="s">
        <v>11</v>
      </c>
      <c r="E707" s="57" t="s">
        <v>12</v>
      </c>
      <c r="F707" s="117" t="s">
        <v>11</v>
      </c>
      <c r="G707" s="104"/>
      <c r="H707" s="102"/>
      <c r="I707" s="58" t="s">
        <v>13</v>
      </c>
      <c r="J707" s="59" t="s">
        <v>14</v>
      </c>
      <c r="K707" s="60" t="s">
        <v>13</v>
      </c>
      <c r="L707" s="59" t="s">
        <v>14</v>
      </c>
      <c r="M707" s="61"/>
      <c r="N707" s="61"/>
      <c r="O707" s="112" t="s">
        <v>15</v>
      </c>
      <c r="P707" s="113"/>
      <c r="Q707" s="113"/>
      <c r="R707" s="114"/>
    </row>
    <row r="708" spans="1:18" ht="14.25" customHeight="1">
      <c r="A708" s="62">
        <v>42370</v>
      </c>
      <c r="B708" s="63">
        <v>1</v>
      </c>
      <c r="C708" s="64"/>
      <c r="D708" s="65"/>
      <c r="E708" s="65"/>
      <c r="F708" s="118"/>
      <c r="G708" s="119"/>
      <c r="H708" s="109"/>
      <c r="I708" s="66" t="str">
        <f t="shared" ref="I708:I732" si="88">IF(C708="L",IF(F708-D708&gt;0,F708-D708," "),IF(D708-F708&gt;0,D708-F708," "))</f>
        <v xml:space="preserve"> </v>
      </c>
      <c r="J708" s="67" t="str">
        <f t="shared" ref="J708:J732" si="89">IF(C708="L",IF(F708-D708&gt;0,(F708-D708)*200*E708," "),IF(D708-F708&gt;0,(D708-F708)*200*E708," "))</f>
        <v xml:space="preserve"> </v>
      </c>
      <c r="K708" s="68" t="str">
        <f t="shared" ref="K708:K732" si="90">IF(C708="L",IF(F708-D708&lt;0,F708-D708," "),IF(D708-F708&lt;0,D708-F708," "))</f>
        <v xml:space="preserve"> </v>
      </c>
      <c r="L708" s="67" t="str">
        <f t="shared" ref="L708:L732" si="91">IF(C708="L",IF(F708-D708&lt;0,(F708-D708)*200*E708," "),IF(D708-F708&lt;0,(D708-F708)*200*E708," "))</f>
        <v xml:space="preserve"> </v>
      </c>
      <c r="M708" s="61"/>
      <c r="N708" s="61"/>
      <c r="O708" s="22" t="s">
        <v>19</v>
      </c>
      <c r="P708" s="23">
        <f>B733+C733</f>
        <v>0</v>
      </c>
      <c r="Q708" s="115"/>
      <c r="R708" s="116"/>
    </row>
    <row r="709" spans="1:18" ht="14.25" customHeight="1">
      <c r="A709" s="63"/>
      <c r="B709" s="63">
        <v>2</v>
      </c>
      <c r="C709" s="64"/>
      <c r="D709" s="65"/>
      <c r="E709" s="65"/>
      <c r="F709" s="93"/>
      <c r="G709" s="94"/>
      <c r="H709" s="95"/>
      <c r="I709" s="66" t="str">
        <f t="shared" si="88"/>
        <v xml:space="preserve"> </v>
      </c>
      <c r="J709" s="67" t="str">
        <f t="shared" si="89"/>
        <v xml:space="preserve"> </v>
      </c>
      <c r="K709" s="68" t="str">
        <f t="shared" si="90"/>
        <v xml:space="preserve"> </v>
      </c>
      <c r="L709" s="67" t="str">
        <f t="shared" si="91"/>
        <v xml:space="preserve"> </v>
      </c>
      <c r="M709" s="61"/>
      <c r="N709" s="61"/>
      <c r="O709" s="70" t="s">
        <v>20</v>
      </c>
      <c r="P709" s="71" t="e">
        <f>B733/P708*100</f>
        <v>#DIV/0!</v>
      </c>
      <c r="Q709" s="72" t="s">
        <v>21</v>
      </c>
      <c r="R709" s="73" t="e">
        <f>C733/P708*100</f>
        <v>#DIV/0!</v>
      </c>
    </row>
    <row r="710" spans="1:18" ht="14.25" customHeight="1">
      <c r="A710" s="63"/>
      <c r="B710" s="63">
        <v>3</v>
      </c>
      <c r="C710" s="64"/>
      <c r="D710" s="65"/>
      <c r="E710" s="65"/>
      <c r="F710" s="93"/>
      <c r="G710" s="94"/>
      <c r="H710" s="95"/>
      <c r="I710" s="66" t="str">
        <f t="shared" si="88"/>
        <v xml:space="preserve"> </v>
      </c>
      <c r="J710" s="67" t="str">
        <f t="shared" si="89"/>
        <v xml:space="preserve"> </v>
      </c>
      <c r="K710" s="68" t="str">
        <f t="shared" si="90"/>
        <v xml:space="preserve"> </v>
      </c>
      <c r="L710" s="67" t="str">
        <f t="shared" si="91"/>
        <v xml:space="preserve"> </v>
      </c>
      <c r="M710" s="61"/>
      <c r="N710" s="61"/>
      <c r="O710" s="70" t="s">
        <v>22</v>
      </c>
      <c r="P710" s="74" t="e">
        <f>SUM(I708:I732)/B733</f>
        <v>#DIV/0!</v>
      </c>
      <c r="Q710" s="72" t="s">
        <v>23</v>
      </c>
      <c r="R710" s="75" t="e">
        <f>SUM(K708:K732)/C733</f>
        <v>#DIV/0!</v>
      </c>
    </row>
    <row r="711" spans="1:18" ht="14.25" customHeight="1">
      <c r="A711" s="63"/>
      <c r="B711" s="63">
        <v>4</v>
      </c>
      <c r="C711" s="64"/>
      <c r="D711" s="65"/>
      <c r="E711" s="65"/>
      <c r="F711" s="93"/>
      <c r="G711" s="94"/>
      <c r="H711" s="95"/>
      <c r="I711" s="66" t="str">
        <f t="shared" si="88"/>
        <v xml:space="preserve"> </v>
      </c>
      <c r="J711" s="67" t="str">
        <f t="shared" si="89"/>
        <v xml:space="preserve"> </v>
      </c>
      <c r="K711" s="68" t="str">
        <f t="shared" si="90"/>
        <v xml:space="preserve"> </v>
      </c>
      <c r="L711" s="67" t="str">
        <f t="shared" si="91"/>
        <v xml:space="preserve"> </v>
      </c>
      <c r="M711" s="61"/>
      <c r="N711" s="61"/>
      <c r="O711" s="76" t="s">
        <v>24</v>
      </c>
      <c r="P711" s="77">
        <f>SUM(J708:J732)</f>
        <v>0</v>
      </c>
      <c r="Q711" s="78" t="s">
        <v>25</v>
      </c>
      <c r="R711" s="79">
        <f>SUM(L708:L732)</f>
        <v>0</v>
      </c>
    </row>
    <row r="712" spans="1:18" ht="14.25" customHeight="1">
      <c r="A712" s="63"/>
      <c r="B712" s="63">
        <v>5</v>
      </c>
      <c r="C712" s="64"/>
      <c r="D712" s="65"/>
      <c r="E712" s="65"/>
      <c r="F712" s="93"/>
      <c r="G712" s="94"/>
      <c r="H712" s="95"/>
      <c r="I712" s="66" t="str">
        <f t="shared" si="88"/>
        <v xml:space="preserve"> </v>
      </c>
      <c r="J712" s="67" t="str">
        <f t="shared" si="89"/>
        <v xml:space="preserve"> </v>
      </c>
      <c r="K712" s="68" t="str">
        <f t="shared" si="90"/>
        <v xml:space="preserve"> </v>
      </c>
      <c r="L712" s="67" t="str">
        <f t="shared" si="91"/>
        <v xml:space="preserve"> </v>
      </c>
      <c r="M712" s="61"/>
      <c r="N712" s="61"/>
      <c r="O712" s="128" t="s">
        <v>26</v>
      </c>
      <c r="P712" s="119"/>
      <c r="Q712" s="119"/>
      <c r="R712" s="109"/>
    </row>
    <row r="713" spans="1:18" ht="14.25" customHeight="1">
      <c r="A713" s="63"/>
      <c r="B713" s="63">
        <v>6</v>
      </c>
      <c r="C713" s="64"/>
      <c r="D713" s="65"/>
      <c r="E713" s="65"/>
      <c r="F713" s="93"/>
      <c r="G713" s="94"/>
      <c r="H713" s="95"/>
      <c r="I713" s="66" t="str">
        <f t="shared" si="88"/>
        <v xml:space="preserve"> </v>
      </c>
      <c r="J713" s="67" t="str">
        <f t="shared" si="89"/>
        <v xml:space="preserve"> </v>
      </c>
      <c r="K713" s="68" t="str">
        <f t="shared" si="90"/>
        <v xml:space="preserve"> </v>
      </c>
      <c r="L713" s="67" t="str">
        <f t="shared" si="91"/>
        <v xml:space="preserve"> </v>
      </c>
      <c r="M713" s="61"/>
      <c r="N713" s="61"/>
      <c r="O713" s="129" t="s">
        <v>27</v>
      </c>
      <c r="P713" s="131">
        <f>P711+R711-K734</f>
        <v>0</v>
      </c>
      <c r="Q713" s="129" t="s">
        <v>28</v>
      </c>
      <c r="R713" s="133" t="e">
        <f>K734/P713</f>
        <v>#DIV/0!</v>
      </c>
    </row>
    <row r="714" spans="1:18" ht="14.25" customHeight="1">
      <c r="A714" s="63"/>
      <c r="B714" s="63">
        <v>7</v>
      </c>
      <c r="C714" s="64"/>
      <c r="D714" s="65"/>
      <c r="E714" s="65"/>
      <c r="F714" s="93"/>
      <c r="G714" s="94"/>
      <c r="H714" s="95"/>
      <c r="I714" s="66" t="str">
        <f t="shared" si="88"/>
        <v xml:space="preserve"> </v>
      </c>
      <c r="J714" s="67" t="str">
        <f t="shared" si="89"/>
        <v xml:space="preserve"> </v>
      </c>
      <c r="K714" s="68" t="str">
        <f t="shared" si="90"/>
        <v xml:space="preserve"> </v>
      </c>
      <c r="L714" s="67" t="str">
        <f t="shared" si="91"/>
        <v xml:space="preserve"> </v>
      </c>
      <c r="M714" s="61"/>
      <c r="N714" s="61"/>
      <c r="O714" s="130"/>
      <c r="P714" s="132"/>
      <c r="Q714" s="130"/>
      <c r="R714" s="132"/>
    </row>
    <row r="715" spans="1:18" ht="14.25" customHeight="1">
      <c r="A715" s="63"/>
      <c r="B715" s="63">
        <v>8</v>
      </c>
      <c r="C715" s="64"/>
      <c r="D715" s="65"/>
      <c r="E715" s="65"/>
      <c r="F715" s="93"/>
      <c r="G715" s="94"/>
      <c r="H715" s="95"/>
      <c r="I715" s="66" t="str">
        <f t="shared" si="88"/>
        <v xml:space="preserve"> </v>
      </c>
      <c r="J715" s="67" t="str">
        <f t="shared" si="89"/>
        <v xml:space="preserve"> </v>
      </c>
      <c r="K715" s="68" t="str">
        <f t="shared" si="90"/>
        <v xml:space="preserve"> </v>
      </c>
      <c r="L715" s="67" t="str">
        <f t="shared" si="91"/>
        <v xml:space="preserve"> </v>
      </c>
      <c r="M715" s="61"/>
      <c r="N715" s="61"/>
      <c r="O715" s="124" t="s">
        <v>29</v>
      </c>
      <c r="P715" s="125"/>
      <c r="Q715" s="100"/>
      <c r="R715" s="126" t="e">
        <f>IF(R711&lt;0,((P709*P710/100)+(R709*R710/100)),P710)</f>
        <v>#DIV/0!</v>
      </c>
    </row>
    <row r="716" spans="1:18" ht="14.25" customHeight="1">
      <c r="A716" s="63"/>
      <c r="B716" s="63">
        <v>9</v>
      </c>
      <c r="C716" s="64"/>
      <c r="D716" s="65"/>
      <c r="E716" s="65"/>
      <c r="F716" s="93"/>
      <c r="G716" s="94"/>
      <c r="H716" s="95"/>
      <c r="I716" s="66" t="str">
        <f t="shared" si="88"/>
        <v xml:space="preserve"> </v>
      </c>
      <c r="J716" s="67" t="str">
        <f t="shared" si="89"/>
        <v xml:space="preserve"> </v>
      </c>
      <c r="K716" s="68" t="str">
        <f t="shared" si="90"/>
        <v xml:space="preserve"> </v>
      </c>
      <c r="L716" s="67" t="str">
        <f t="shared" si="91"/>
        <v xml:space="preserve"> </v>
      </c>
      <c r="M716" s="61"/>
      <c r="N716" s="61"/>
      <c r="O716" s="101"/>
      <c r="P716" s="104"/>
      <c r="Q716" s="102"/>
      <c r="R716" s="127"/>
    </row>
    <row r="717" spans="1:18" ht="14.25" customHeight="1">
      <c r="A717" s="63"/>
      <c r="B717" s="63">
        <v>10</v>
      </c>
      <c r="C717" s="64"/>
      <c r="D717" s="65"/>
      <c r="E717" s="65"/>
      <c r="F717" s="93"/>
      <c r="G717" s="94"/>
      <c r="H717" s="95"/>
      <c r="I717" s="66" t="str">
        <f t="shared" si="88"/>
        <v xml:space="preserve"> </v>
      </c>
      <c r="J717" s="67" t="str">
        <f t="shared" si="89"/>
        <v xml:space="preserve"> </v>
      </c>
      <c r="K717" s="68" t="str">
        <f t="shared" si="90"/>
        <v xml:space="preserve"> </v>
      </c>
      <c r="L717" s="67" t="str">
        <f t="shared" si="91"/>
        <v xml:space="preserve"> </v>
      </c>
      <c r="M717" s="61"/>
      <c r="N717" s="61"/>
    </row>
    <row r="718" spans="1:18" ht="14.25" customHeight="1">
      <c r="A718" s="63"/>
      <c r="B718" s="63">
        <v>11</v>
      </c>
      <c r="C718" s="64"/>
      <c r="D718" s="65"/>
      <c r="E718" s="65"/>
      <c r="F718" s="93"/>
      <c r="G718" s="94"/>
      <c r="H718" s="95"/>
      <c r="I718" s="66" t="str">
        <f t="shared" si="88"/>
        <v xml:space="preserve"> </v>
      </c>
      <c r="J718" s="67" t="str">
        <f t="shared" si="89"/>
        <v xml:space="preserve"> </v>
      </c>
      <c r="K718" s="68" t="str">
        <f t="shared" si="90"/>
        <v xml:space="preserve"> </v>
      </c>
      <c r="L718" s="67" t="str">
        <f t="shared" si="91"/>
        <v xml:space="preserve"> </v>
      </c>
      <c r="M718" s="61"/>
      <c r="N718" s="61"/>
      <c r="O718" s="134" t="s">
        <v>30</v>
      </c>
      <c r="P718" s="107"/>
      <c r="Q718" s="97"/>
    </row>
    <row r="719" spans="1:18" ht="14.25" customHeight="1">
      <c r="A719" s="63"/>
      <c r="B719" s="63">
        <v>12</v>
      </c>
      <c r="C719" s="64"/>
      <c r="D719" s="65"/>
      <c r="E719" s="65"/>
      <c r="F719" s="93"/>
      <c r="G719" s="94"/>
      <c r="H719" s="95"/>
      <c r="I719" s="66" t="str">
        <f t="shared" si="88"/>
        <v xml:space="preserve"> </v>
      </c>
      <c r="J719" s="67" t="str">
        <f t="shared" si="89"/>
        <v xml:space="preserve"> </v>
      </c>
      <c r="K719" s="68" t="str">
        <f t="shared" si="90"/>
        <v xml:space="preserve"> </v>
      </c>
      <c r="L719" s="67" t="str">
        <f t="shared" si="91"/>
        <v xml:space="preserve"> </v>
      </c>
      <c r="M719" s="61"/>
      <c r="N719" s="61"/>
      <c r="O719" s="80" t="s">
        <v>31</v>
      </c>
      <c r="P719" s="135">
        <f>MAX(I708:I732)</f>
        <v>0</v>
      </c>
      <c r="Q719" s="95"/>
    </row>
    <row r="720" spans="1:18" ht="14.25" customHeight="1">
      <c r="A720" s="63"/>
      <c r="B720" s="63">
        <v>13</v>
      </c>
      <c r="C720" s="64"/>
      <c r="D720" s="65"/>
      <c r="E720" s="65"/>
      <c r="F720" s="93"/>
      <c r="G720" s="94"/>
      <c r="H720" s="95"/>
      <c r="I720" s="66" t="str">
        <f t="shared" si="88"/>
        <v xml:space="preserve"> </v>
      </c>
      <c r="J720" s="67" t="str">
        <f t="shared" si="89"/>
        <v xml:space="preserve"> </v>
      </c>
      <c r="K720" s="68" t="str">
        <f t="shared" si="90"/>
        <v xml:space="preserve"> </v>
      </c>
      <c r="L720" s="67" t="str">
        <f t="shared" si="91"/>
        <v xml:space="preserve"> </v>
      </c>
      <c r="M720" s="61"/>
      <c r="N720" s="61"/>
      <c r="O720" s="81" t="s">
        <v>32</v>
      </c>
      <c r="P720" s="123">
        <f>MAX(J708:J732)</f>
        <v>0</v>
      </c>
      <c r="Q720" s="95"/>
    </row>
    <row r="721" spans="1:17" ht="14.25" customHeight="1">
      <c r="A721" s="63"/>
      <c r="B721" s="63">
        <v>14</v>
      </c>
      <c r="C721" s="64"/>
      <c r="D721" s="65"/>
      <c r="E721" s="65"/>
      <c r="F721" s="93"/>
      <c r="G721" s="94"/>
      <c r="H721" s="95"/>
      <c r="I721" s="66" t="str">
        <f t="shared" si="88"/>
        <v xml:space="preserve"> </v>
      </c>
      <c r="J721" s="67" t="str">
        <f t="shared" si="89"/>
        <v xml:space="preserve"> </v>
      </c>
      <c r="K721" s="68" t="str">
        <f t="shared" si="90"/>
        <v xml:space="preserve"> </v>
      </c>
      <c r="L721" s="67" t="str">
        <f t="shared" si="91"/>
        <v xml:space="preserve"> </v>
      </c>
      <c r="M721" s="61"/>
      <c r="N721" s="61"/>
      <c r="O721" s="82" t="s">
        <v>33</v>
      </c>
      <c r="P721" s="120">
        <f>MIN(K708:K732)</f>
        <v>0</v>
      </c>
      <c r="Q721" s="95"/>
    </row>
    <row r="722" spans="1:17" ht="14.25" customHeight="1">
      <c r="A722" s="63"/>
      <c r="B722" s="63">
        <v>15</v>
      </c>
      <c r="C722" s="64"/>
      <c r="D722" s="65"/>
      <c r="E722" s="65"/>
      <c r="F722" s="93"/>
      <c r="G722" s="94"/>
      <c r="H722" s="95"/>
      <c r="I722" s="66" t="str">
        <f t="shared" si="88"/>
        <v xml:space="preserve"> </v>
      </c>
      <c r="J722" s="67" t="str">
        <f t="shared" si="89"/>
        <v xml:space="preserve"> </v>
      </c>
      <c r="K722" s="68" t="str">
        <f t="shared" si="90"/>
        <v xml:space="preserve"> </v>
      </c>
      <c r="L722" s="67" t="str">
        <f t="shared" si="91"/>
        <v xml:space="preserve"> </v>
      </c>
      <c r="M722" s="61"/>
      <c r="N722" s="61"/>
      <c r="O722" s="83" t="s">
        <v>34</v>
      </c>
      <c r="P722" s="121">
        <f>MIN(L708:L732)</f>
        <v>0</v>
      </c>
      <c r="Q722" s="122"/>
    </row>
    <row r="723" spans="1:17" ht="14.25" customHeight="1">
      <c r="A723" s="63"/>
      <c r="B723" s="63">
        <v>16</v>
      </c>
      <c r="C723" s="64"/>
      <c r="D723" s="65"/>
      <c r="E723" s="65"/>
      <c r="F723" s="93"/>
      <c r="G723" s="94"/>
      <c r="H723" s="95"/>
      <c r="I723" s="66" t="str">
        <f t="shared" si="88"/>
        <v xml:space="preserve"> </v>
      </c>
      <c r="J723" s="67" t="str">
        <f t="shared" si="89"/>
        <v xml:space="preserve"> </v>
      </c>
      <c r="K723" s="68" t="str">
        <f t="shared" si="90"/>
        <v xml:space="preserve"> </v>
      </c>
      <c r="L723" s="67" t="str">
        <f t="shared" si="91"/>
        <v xml:space="preserve"> </v>
      </c>
      <c r="M723" s="61"/>
      <c r="N723" s="61"/>
      <c r="O723" s="61"/>
    </row>
    <row r="724" spans="1:17" ht="14.25" customHeight="1">
      <c r="A724" s="63"/>
      <c r="B724" s="63">
        <v>17</v>
      </c>
      <c r="C724" s="64"/>
      <c r="D724" s="65"/>
      <c r="E724" s="65"/>
      <c r="F724" s="93"/>
      <c r="G724" s="94"/>
      <c r="H724" s="95"/>
      <c r="I724" s="66" t="str">
        <f t="shared" si="88"/>
        <v xml:space="preserve"> </v>
      </c>
      <c r="J724" s="67" t="str">
        <f t="shared" si="89"/>
        <v xml:space="preserve"> </v>
      </c>
      <c r="K724" s="68" t="str">
        <f t="shared" si="90"/>
        <v xml:space="preserve"> </v>
      </c>
      <c r="L724" s="67" t="str">
        <f t="shared" si="91"/>
        <v xml:space="preserve"> </v>
      </c>
      <c r="M724" s="61"/>
      <c r="N724" s="61"/>
      <c r="O724" s="61"/>
    </row>
    <row r="725" spans="1:17" ht="14.25" customHeight="1">
      <c r="A725" s="63"/>
      <c r="B725" s="63">
        <v>18</v>
      </c>
      <c r="C725" s="64"/>
      <c r="D725" s="65"/>
      <c r="E725" s="65"/>
      <c r="F725" s="93"/>
      <c r="G725" s="94"/>
      <c r="H725" s="95"/>
      <c r="I725" s="66" t="str">
        <f t="shared" si="88"/>
        <v xml:space="preserve"> </v>
      </c>
      <c r="J725" s="67" t="str">
        <f t="shared" si="89"/>
        <v xml:space="preserve"> </v>
      </c>
      <c r="K725" s="68" t="str">
        <f t="shared" si="90"/>
        <v xml:space="preserve"> </v>
      </c>
      <c r="L725" s="67" t="str">
        <f t="shared" si="91"/>
        <v xml:space="preserve"> </v>
      </c>
      <c r="M725" s="61"/>
      <c r="N725" s="61"/>
      <c r="O725" s="61"/>
    </row>
    <row r="726" spans="1:17" ht="14.25" customHeight="1">
      <c r="A726" s="63"/>
      <c r="B726" s="63">
        <v>19</v>
      </c>
      <c r="C726" s="64"/>
      <c r="D726" s="65"/>
      <c r="E726" s="65"/>
      <c r="F726" s="93"/>
      <c r="G726" s="94"/>
      <c r="H726" s="95"/>
      <c r="I726" s="66" t="str">
        <f t="shared" si="88"/>
        <v xml:space="preserve"> </v>
      </c>
      <c r="J726" s="67" t="str">
        <f t="shared" si="89"/>
        <v xml:space="preserve"> </v>
      </c>
      <c r="K726" s="68" t="str">
        <f t="shared" si="90"/>
        <v xml:space="preserve"> </v>
      </c>
      <c r="L726" s="67" t="str">
        <f t="shared" si="91"/>
        <v xml:space="preserve"> </v>
      </c>
      <c r="M726" s="61"/>
      <c r="N726" s="61"/>
      <c r="O726" s="61"/>
    </row>
    <row r="727" spans="1:17" ht="14.25" customHeight="1">
      <c r="A727" s="63"/>
      <c r="B727" s="63">
        <v>20</v>
      </c>
      <c r="C727" s="64"/>
      <c r="D727" s="65"/>
      <c r="E727" s="65"/>
      <c r="F727" s="93"/>
      <c r="G727" s="94"/>
      <c r="H727" s="95"/>
      <c r="I727" s="66" t="str">
        <f t="shared" si="88"/>
        <v xml:space="preserve"> </v>
      </c>
      <c r="J727" s="67" t="str">
        <f t="shared" si="89"/>
        <v xml:space="preserve"> </v>
      </c>
      <c r="K727" s="68" t="str">
        <f t="shared" si="90"/>
        <v xml:space="preserve"> </v>
      </c>
      <c r="L727" s="67" t="str">
        <f t="shared" si="91"/>
        <v xml:space="preserve"> </v>
      </c>
      <c r="M727" s="61"/>
      <c r="N727" s="61"/>
      <c r="O727" s="61"/>
    </row>
    <row r="728" spans="1:17" ht="14.25" customHeight="1">
      <c r="A728" s="63"/>
      <c r="B728" s="63">
        <v>21</v>
      </c>
      <c r="C728" s="64"/>
      <c r="D728" s="65"/>
      <c r="E728" s="65"/>
      <c r="F728" s="93"/>
      <c r="G728" s="94"/>
      <c r="H728" s="95"/>
      <c r="I728" s="66" t="str">
        <f t="shared" si="88"/>
        <v xml:space="preserve"> </v>
      </c>
      <c r="J728" s="67" t="str">
        <f t="shared" si="89"/>
        <v xml:space="preserve"> </v>
      </c>
      <c r="K728" s="68" t="str">
        <f t="shared" si="90"/>
        <v xml:space="preserve"> </v>
      </c>
      <c r="L728" s="67" t="str">
        <f t="shared" si="91"/>
        <v xml:space="preserve"> </v>
      </c>
      <c r="M728" s="61"/>
      <c r="N728" s="61"/>
      <c r="O728" s="61"/>
    </row>
    <row r="729" spans="1:17" ht="14.25" customHeight="1">
      <c r="A729" s="63"/>
      <c r="B729" s="63">
        <v>22</v>
      </c>
      <c r="C729" s="64"/>
      <c r="D729" s="65"/>
      <c r="E729" s="65"/>
      <c r="F729" s="93"/>
      <c r="G729" s="94"/>
      <c r="H729" s="95"/>
      <c r="I729" s="66" t="str">
        <f t="shared" si="88"/>
        <v xml:space="preserve"> </v>
      </c>
      <c r="J729" s="67" t="str">
        <f t="shared" si="89"/>
        <v xml:space="preserve"> </v>
      </c>
      <c r="K729" s="68" t="str">
        <f t="shared" si="90"/>
        <v xml:space="preserve"> </v>
      </c>
      <c r="L729" s="67" t="str">
        <f t="shared" si="91"/>
        <v xml:space="preserve"> </v>
      </c>
      <c r="M729" s="61"/>
      <c r="N729" s="61"/>
      <c r="O729" s="61"/>
    </row>
    <row r="730" spans="1:17" ht="14.25" customHeight="1">
      <c r="A730" s="63"/>
      <c r="B730" s="63">
        <v>23</v>
      </c>
      <c r="C730" s="64"/>
      <c r="D730" s="65"/>
      <c r="E730" s="65"/>
      <c r="F730" s="93"/>
      <c r="G730" s="94"/>
      <c r="H730" s="95"/>
      <c r="I730" s="66" t="str">
        <f t="shared" si="88"/>
        <v xml:space="preserve"> </v>
      </c>
      <c r="J730" s="67" t="str">
        <f t="shared" si="89"/>
        <v xml:space="preserve"> </v>
      </c>
      <c r="K730" s="68" t="str">
        <f t="shared" si="90"/>
        <v xml:space="preserve"> </v>
      </c>
      <c r="L730" s="67" t="str">
        <f t="shared" si="91"/>
        <v xml:space="preserve"> </v>
      </c>
      <c r="M730" s="61"/>
      <c r="N730" s="61"/>
      <c r="O730" s="61"/>
    </row>
    <row r="731" spans="1:17" ht="14.25" customHeight="1">
      <c r="A731" s="63"/>
      <c r="B731" s="63">
        <v>24</v>
      </c>
      <c r="C731" s="64"/>
      <c r="D731" s="65"/>
      <c r="E731" s="65"/>
      <c r="F731" s="93"/>
      <c r="G731" s="94"/>
      <c r="H731" s="95"/>
      <c r="I731" s="66" t="str">
        <f t="shared" si="88"/>
        <v xml:space="preserve"> </v>
      </c>
      <c r="J731" s="67" t="str">
        <f t="shared" si="89"/>
        <v xml:space="preserve"> </v>
      </c>
      <c r="K731" s="68" t="str">
        <f t="shared" si="90"/>
        <v xml:space="preserve"> </v>
      </c>
      <c r="L731" s="67" t="str">
        <f t="shared" si="91"/>
        <v xml:space="preserve"> </v>
      </c>
      <c r="M731" s="61"/>
      <c r="N731" s="61"/>
      <c r="O731" s="61"/>
    </row>
    <row r="732" spans="1:17" ht="14.25" customHeight="1">
      <c r="A732" s="63"/>
      <c r="B732" s="63">
        <v>25</v>
      </c>
      <c r="C732" s="87"/>
      <c r="D732" s="65"/>
      <c r="E732" s="65"/>
      <c r="F732" s="93"/>
      <c r="G732" s="94"/>
      <c r="H732" s="95"/>
      <c r="I732" s="66" t="str">
        <f t="shared" si="88"/>
        <v xml:space="preserve"> </v>
      </c>
      <c r="J732" s="67" t="str">
        <f t="shared" si="89"/>
        <v xml:space="preserve"> </v>
      </c>
      <c r="K732" s="68" t="str">
        <f t="shared" si="90"/>
        <v xml:space="preserve"> </v>
      </c>
      <c r="L732" s="67" t="str">
        <f t="shared" si="91"/>
        <v xml:space="preserve"> </v>
      </c>
      <c r="M732" s="61"/>
      <c r="N732" s="61"/>
      <c r="O732" s="61"/>
    </row>
    <row r="733" spans="1:17" ht="14.25" customHeight="1">
      <c r="A733" s="99" t="s">
        <v>35</v>
      </c>
      <c r="B733" s="84">
        <f>COUNT(I708:I732)</f>
        <v>0</v>
      </c>
      <c r="C733" s="84">
        <f>COUNT(K708:K732)</f>
        <v>0</v>
      </c>
      <c r="D733" s="84">
        <f>SUM(E708:E732)*2</f>
        <v>0</v>
      </c>
      <c r="E733" s="84"/>
      <c r="F733" s="84"/>
      <c r="G733" s="84"/>
      <c r="H733" s="84"/>
      <c r="I733" s="96" t="s">
        <v>36</v>
      </c>
      <c r="J733" s="97"/>
      <c r="K733" s="98" t="s">
        <v>37</v>
      </c>
      <c r="L733" s="97"/>
      <c r="M733" s="61"/>
      <c r="N733" s="61"/>
      <c r="O733" s="61"/>
    </row>
    <row r="734" spans="1:17" ht="14.25" customHeight="1">
      <c r="A734" s="105"/>
      <c r="B734" s="85"/>
      <c r="C734" s="85"/>
      <c r="D734" s="85"/>
      <c r="E734" s="85"/>
      <c r="F734" s="85"/>
      <c r="G734" s="85"/>
      <c r="H734" s="85"/>
      <c r="I734" s="99">
        <f>I702</f>
        <v>15</v>
      </c>
      <c r="J734" s="100"/>
      <c r="K734" s="103">
        <f>I734*D733*1.07</f>
        <v>0</v>
      </c>
      <c r="L734" s="100"/>
    </row>
    <row r="735" spans="1:17" ht="15.75" customHeight="1">
      <c r="A735" s="101"/>
      <c r="B735" s="86"/>
      <c r="C735" s="86"/>
      <c r="D735" s="86"/>
      <c r="E735" s="86"/>
      <c r="F735" s="86"/>
      <c r="G735" s="86"/>
      <c r="H735" s="86"/>
      <c r="I735" s="101"/>
      <c r="J735" s="102"/>
      <c r="K735" s="104"/>
      <c r="L735" s="102"/>
    </row>
    <row r="736" spans="1:17" ht="14.25" customHeight="1"/>
    <row r="737" spans="1:18" ht="14.25" customHeight="1"/>
    <row r="738" spans="1:18" ht="14.25" customHeight="1">
      <c r="A738" s="106" t="s">
        <v>2</v>
      </c>
      <c r="B738" s="107"/>
      <c r="C738" s="107"/>
      <c r="D738" s="107"/>
      <c r="E738" s="97"/>
      <c r="F738" s="106" t="s">
        <v>3</v>
      </c>
      <c r="G738" s="107"/>
      <c r="H738" s="97"/>
      <c r="I738" s="108" t="s">
        <v>4</v>
      </c>
      <c r="J738" s="109"/>
      <c r="K738" s="110" t="s">
        <v>5</v>
      </c>
      <c r="L738" s="109"/>
      <c r="O738" s="111" t="s">
        <v>7</v>
      </c>
      <c r="P738" s="107"/>
      <c r="Q738" s="107"/>
      <c r="R738" s="97"/>
    </row>
    <row r="739" spans="1:18" ht="14.25" customHeight="1">
      <c r="A739" s="55" t="s">
        <v>8</v>
      </c>
      <c r="B739" s="55" t="s">
        <v>9</v>
      </c>
      <c r="C739" s="55" t="s">
        <v>10</v>
      </c>
      <c r="D739" s="56" t="s">
        <v>11</v>
      </c>
      <c r="E739" s="57" t="s">
        <v>12</v>
      </c>
      <c r="F739" s="117" t="s">
        <v>11</v>
      </c>
      <c r="G739" s="104"/>
      <c r="H739" s="102"/>
      <c r="I739" s="58" t="s">
        <v>13</v>
      </c>
      <c r="J739" s="59" t="s">
        <v>14</v>
      </c>
      <c r="K739" s="60" t="s">
        <v>13</v>
      </c>
      <c r="L739" s="59" t="s">
        <v>14</v>
      </c>
      <c r="M739" s="61"/>
      <c r="N739" s="61"/>
      <c r="O739" s="112" t="s">
        <v>15</v>
      </c>
      <c r="P739" s="113"/>
      <c r="Q739" s="113"/>
      <c r="R739" s="114"/>
    </row>
    <row r="740" spans="1:18" ht="14.25" customHeight="1">
      <c r="A740" s="62">
        <v>42370</v>
      </c>
      <c r="B740" s="63">
        <v>1</v>
      </c>
      <c r="C740" s="64"/>
      <c r="D740" s="65"/>
      <c r="E740" s="65"/>
      <c r="F740" s="118"/>
      <c r="G740" s="119"/>
      <c r="H740" s="109"/>
      <c r="I740" s="66" t="str">
        <f t="shared" ref="I740:I764" si="92">IF(C740="L",IF(F740-D740&gt;0,F740-D740," "),IF(D740-F740&gt;0,D740-F740," "))</f>
        <v xml:space="preserve"> </v>
      </c>
      <c r="J740" s="67" t="str">
        <f t="shared" ref="J740:J764" si="93">IF(C740="L",IF(F740-D740&gt;0,(F740-D740)*200*E740," "),IF(D740-F740&gt;0,(D740-F740)*200*E740," "))</f>
        <v xml:space="preserve"> </v>
      </c>
      <c r="K740" s="68" t="str">
        <f t="shared" ref="K740:K764" si="94">IF(C740="L",IF(F740-D740&lt;0,F740-D740," "),IF(D740-F740&lt;0,D740-F740," "))</f>
        <v xml:space="preserve"> </v>
      </c>
      <c r="L740" s="67" t="str">
        <f t="shared" ref="L740:L764" si="95">IF(C740="L",IF(F740-D740&lt;0,(F740-D740)*200*E740," "),IF(D740-F740&lt;0,(D740-F740)*200*E740," "))</f>
        <v xml:space="preserve"> </v>
      </c>
      <c r="M740" s="61"/>
      <c r="N740" s="61"/>
      <c r="O740" s="22" t="s">
        <v>19</v>
      </c>
      <c r="P740" s="23">
        <f>B765+C765</f>
        <v>0</v>
      </c>
      <c r="Q740" s="115"/>
      <c r="R740" s="116"/>
    </row>
    <row r="741" spans="1:18" ht="14.25" customHeight="1">
      <c r="A741" s="63"/>
      <c r="B741" s="63">
        <v>2</v>
      </c>
      <c r="C741" s="64"/>
      <c r="D741" s="65"/>
      <c r="E741" s="65"/>
      <c r="F741" s="93"/>
      <c r="G741" s="94"/>
      <c r="H741" s="95"/>
      <c r="I741" s="66" t="str">
        <f t="shared" si="92"/>
        <v xml:space="preserve"> </v>
      </c>
      <c r="J741" s="67" t="str">
        <f t="shared" si="93"/>
        <v xml:space="preserve"> </v>
      </c>
      <c r="K741" s="68" t="str">
        <f t="shared" si="94"/>
        <v xml:space="preserve"> </v>
      </c>
      <c r="L741" s="67" t="str">
        <f t="shared" si="95"/>
        <v xml:space="preserve"> </v>
      </c>
      <c r="M741" s="61"/>
      <c r="N741" s="61"/>
      <c r="O741" s="70" t="s">
        <v>20</v>
      </c>
      <c r="P741" s="71" t="e">
        <f>B765/P740*100</f>
        <v>#DIV/0!</v>
      </c>
      <c r="Q741" s="72" t="s">
        <v>21</v>
      </c>
      <c r="R741" s="73" t="e">
        <f>C765/P740*100</f>
        <v>#DIV/0!</v>
      </c>
    </row>
    <row r="742" spans="1:18" ht="14.25" customHeight="1">
      <c r="A742" s="63"/>
      <c r="B742" s="63">
        <v>3</v>
      </c>
      <c r="C742" s="64"/>
      <c r="D742" s="65"/>
      <c r="E742" s="65"/>
      <c r="F742" s="93"/>
      <c r="G742" s="94"/>
      <c r="H742" s="95"/>
      <c r="I742" s="66" t="str">
        <f t="shared" si="92"/>
        <v xml:space="preserve"> </v>
      </c>
      <c r="J742" s="67" t="str">
        <f t="shared" si="93"/>
        <v xml:space="preserve"> </v>
      </c>
      <c r="K742" s="68" t="str">
        <f t="shared" si="94"/>
        <v xml:space="preserve"> </v>
      </c>
      <c r="L742" s="67" t="str">
        <f t="shared" si="95"/>
        <v xml:space="preserve"> </v>
      </c>
      <c r="M742" s="61"/>
      <c r="N742" s="61"/>
      <c r="O742" s="70" t="s">
        <v>22</v>
      </c>
      <c r="P742" s="74" t="e">
        <f>SUM(I740:I764)/B765</f>
        <v>#DIV/0!</v>
      </c>
      <c r="Q742" s="72" t="s">
        <v>23</v>
      </c>
      <c r="R742" s="75" t="e">
        <f>SUM(K740:K764)/C765</f>
        <v>#DIV/0!</v>
      </c>
    </row>
    <row r="743" spans="1:18" ht="14.25" customHeight="1">
      <c r="A743" s="63"/>
      <c r="B743" s="63">
        <v>4</v>
      </c>
      <c r="C743" s="64"/>
      <c r="D743" s="65"/>
      <c r="E743" s="65"/>
      <c r="F743" s="93"/>
      <c r="G743" s="94"/>
      <c r="H743" s="95"/>
      <c r="I743" s="66" t="str">
        <f t="shared" si="92"/>
        <v xml:space="preserve"> </v>
      </c>
      <c r="J743" s="67" t="str">
        <f t="shared" si="93"/>
        <v xml:space="preserve"> </v>
      </c>
      <c r="K743" s="68" t="str">
        <f t="shared" si="94"/>
        <v xml:space="preserve"> </v>
      </c>
      <c r="L743" s="67" t="str">
        <f t="shared" si="95"/>
        <v xml:space="preserve"> </v>
      </c>
      <c r="M743" s="61"/>
      <c r="N743" s="61"/>
      <c r="O743" s="76" t="s">
        <v>24</v>
      </c>
      <c r="P743" s="77">
        <f>SUM(J740:J764)</f>
        <v>0</v>
      </c>
      <c r="Q743" s="78" t="s">
        <v>25</v>
      </c>
      <c r="R743" s="79">
        <f>SUM(L740:L764)</f>
        <v>0</v>
      </c>
    </row>
    <row r="744" spans="1:18" ht="14.25" customHeight="1">
      <c r="A744" s="63"/>
      <c r="B744" s="63">
        <v>5</v>
      </c>
      <c r="C744" s="64"/>
      <c r="D744" s="65"/>
      <c r="E744" s="65"/>
      <c r="F744" s="93"/>
      <c r="G744" s="94"/>
      <c r="H744" s="95"/>
      <c r="I744" s="66" t="str">
        <f t="shared" si="92"/>
        <v xml:space="preserve"> </v>
      </c>
      <c r="J744" s="67" t="str">
        <f t="shared" si="93"/>
        <v xml:space="preserve"> </v>
      </c>
      <c r="K744" s="68" t="str">
        <f t="shared" si="94"/>
        <v xml:space="preserve"> </v>
      </c>
      <c r="L744" s="67" t="str">
        <f t="shared" si="95"/>
        <v xml:space="preserve"> </v>
      </c>
      <c r="M744" s="61"/>
      <c r="N744" s="61"/>
      <c r="O744" s="128" t="s">
        <v>26</v>
      </c>
      <c r="P744" s="119"/>
      <c r="Q744" s="119"/>
      <c r="R744" s="109"/>
    </row>
    <row r="745" spans="1:18" ht="14.25" customHeight="1">
      <c r="A745" s="63"/>
      <c r="B745" s="63">
        <v>6</v>
      </c>
      <c r="C745" s="64"/>
      <c r="D745" s="65"/>
      <c r="E745" s="65"/>
      <c r="F745" s="93"/>
      <c r="G745" s="94"/>
      <c r="H745" s="95"/>
      <c r="I745" s="66" t="str">
        <f t="shared" si="92"/>
        <v xml:space="preserve"> </v>
      </c>
      <c r="J745" s="67" t="str">
        <f t="shared" si="93"/>
        <v xml:space="preserve"> </v>
      </c>
      <c r="K745" s="68" t="str">
        <f t="shared" si="94"/>
        <v xml:space="preserve"> </v>
      </c>
      <c r="L745" s="67" t="str">
        <f t="shared" si="95"/>
        <v xml:space="preserve"> </v>
      </c>
      <c r="M745" s="61"/>
      <c r="N745" s="61"/>
      <c r="O745" s="129" t="s">
        <v>27</v>
      </c>
      <c r="P745" s="131">
        <f>P743+R743-K766</f>
        <v>0</v>
      </c>
      <c r="Q745" s="129" t="s">
        <v>28</v>
      </c>
      <c r="R745" s="133" t="e">
        <f>K766/P745</f>
        <v>#DIV/0!</v>
      </c>
    </row>
    <row r="746" spans="1:18" ht="14.25" customHeight="1">
      <c r="A746" s="63"/>
      <c r="B746" s="63">
        <v>7</v>
      </c>
      <c r="C746" s="64"/>
      <c r="D746" s="65"/>
      <c r="E746" s="65"/>
      <c r="F746" s="93"/>
      <c r="G746" s="94"/>
      <c r="H746" s="95"/>
      <c r="I746" s="66" t="str">
        <f t="shared" si="92"/>
        <v xml:space="preserve"> </v>
      </c>
      <c r="J746" s="67" t="str">
        <f t="shared" si="93"/>
        <v xml:space="preserve"> </v>
      </c>
      <c r="K746" s="68" t="str">
        <f t="shared" si="94"/>
        <v xml:space="preserve"> </v>
      </c>
      <c r="L746" s="67" t="str">
        <f t="shared" si="95"/>
        <v xml:space="preserve"> </v>
      </c>
      <c r="M746" s="61"/>
      <c r="N746" s="61"/>
      <c r="O746" s="130"/>
      <c r="P746" s="132"/>
      <c r="Q746" s="130"/>
      <c r="R746" s="132"/>
    </row>
    <row r="747" spans="1:18" ht="14.25" customHeight="1">
      <c r="A747" s="63"/>
      <c r="B747" s="63">
        <v>8</v>
      </c>
      <c r="C747" s="64"/>
      <c r="D747" s="65"/>
      <c r="E747" s="65"/>
      <c r="F747" s="93"/>
      <c r="G747" s="94"/>
      <c r="H747" s="95"/>
      <c r="I747" s="66" t="str">
        <f t="shared" si="92"/>
        <v xml:space="preserve"> </v>
      </c>
      <c r="J747" s="67" t="str">
        <f t="shared" si="93"/>
        <v xml:space="preserve"> </v>
      </c>
      <c r="K747" s="68" t="str">
        <f t="shared" si="94"/>
        <v xml:space="preserve"> </v>
      </c>
      <c r="L747" s="67" t="str">
        <f t="shared" si="95"/>
        <v xml:space="preserve"> </v>
      </c>
      <c r="M747" s="61"/>
      <c r="N747" s="61"/>
      <c r="O747" s="124" t="s">
        <v>29</v>
      </c>
      <c r="P747" s="125"/>
      <c r="Q747" s="100"/>
      <c r="R747" s="126" t="e">
        <f>IF(R743&lt;0,((P741*P742/100)+(R741*R742/100)),P742)</f>
        <v>#DIV/0!</v>
      </c>
    </row>
    <row r="748" spans="1:18" ht="14.25" customHeight="1">
      <c r="A748" s="63"/>
      <c r="B748" s="63">
        <v>9</v>
      </c>
      <c r="C748" s="64"/>
      <c r="D748" s="65"/>
      <c r="E748" s="65"/>
      <c r="F748" s="93"/>
      <c r="G748" s="94"/>
      <c r="H748" s="95"/>
      <c r="I748" s="66" t="str">
        <f t="shared" si="92"/>
        <v xml:space="preserve"> </v>
      </c>
      <c r="J748" s="67" t="str">
        <f t="shared" si="93"/>
        <v xml:space="preserve"> </v>
      </c>
      <c r="K748" s="68" t="str">
        <f t="shared" si="94"/>
        <v xml:space="preserve"> </v>
      </c>
      <c r="L748" s="67" t="str">
        <f t="shared" si="95"/>
        <v xml:space="preserve"> </v>
      </c>
      <c r="M748" s="61"/>
      <c r="N748" s="61"/>
      <c r="O748" s="101"/>
      <c r="P748" s="104"/>
      <c r="Q748" s="102"/>
      <c r="R748" s="127"/>
    </row>
    <row r="749" spans="1:18" ht="14.25" customHeight="1">
      <c r="A749" s="63"/>
      <c r="B749" s="63">
        <v>10</v>
      </c>
      <c r="C749" s="64"/>
      <c r="D749" s="65"/>
      <c r="E749" s="65"/>
      <c r="F749" s="93"/>
      <c r="G749" s="94"/>
      <c r="H749" s="95"/>
      <c r="I749" s="66" t="str">
        <f t="shared" si="92"/>
        <v xml:space="preserve"> </v>
      </c>
      <c r="J749" s="67" t="str">
        <f t="shared" si="93"/>
        <v xml:space="preserve"> </v>
      </c>
      <c r="K749" s="68" t="str">
        <f t="shared" si="94"/>
        <v xml:space="preserve"> </v>
      </c>
      <c r="L749" s="67" t="str">
        <f t="shared" si="95"/>
        <v xml:space="preserve"> </v>
      </c>
      <c r="M749" s="61"/>
      <c r="N749" s="61"/>
    </row>
    <row r="750" spans="1:18" ht="14.25" customHeight="1">
      <c r="A750" s="63"/>
      <c r="B750" s="63">
        <v>11</v>
      </c>
      <c r="C750" s="64"/>
      <c r="D750" s="65"/>
      <c r="E750" s="65"/>
      <c r="F750" s="93"/>
      <c r="G750" s="94"/>
      <c r="H750" s="95"/>
      <c r="I750" s="66" t="str">
        <f t="shared" si="92"/>
        <v xml:space="preserve"> </v>
      </c>
      <c r="J750" s="67" t="str">
        <f t="shared" si="93"/>
        <v xml:space="preserve"> </v>
      </c>
      <c r="K750" s="68" t="str">
        <f t="shared" si="94"/>
        <v xml:space="preserve"> </v>
      </c>
      <c r="L750" s="67" t="str">
        <f t="shared" si="95"/>
        <v xml:space="preserve"> </v>
      </c>
      <c r="M750" s="61"/>
      <c r="N750" s="61"/>
      <c r="O750" s="134" t="s">
        <v>30</v>
      </c>
      <c r="P750" s="107"/>
      <c r="Q750" s="97"/>
    </row>
    <row r="751" spans="1:18" ht="14.25" customHeight="1">
      <c r="A751" s="63"/>
      <c r="B751" s="63">
        <v>12</v>
      </c>
      <c r="C751" s="64"/>
      <c r="D751" s="65"/>
      <c r="E751" s="65"/>
      <c r="F751" s="93"/>
      <c r="G751" s="94"/>
      <c r="H751" s="95"/>
      <c r="I751" s="66" t="str">
        <f t="shared" si="92"/>
        <v xml:space="preserve"> </v>
      </c>
      <c r="J751" s="67" t="str">
        <f t="shared" si="93"/>
        <v xml:space="preserve"> </v>
      </c>
      <c r="K751" s="68" t="str">
        <f t="shared" si="94"/>
        <v xml:space="preserve"> </v>
      </c>
      <c r="L751" s="67" t="str">
        <f t="shared" si="95"/>
        <v xml:space="preserve"> </v>
      </c>
      <c r="M751" s="61"/>
      <c r="N751" s="61"/>
      <c r="O751" s="80" t="s">
        <v>31</v>
      </c>
      <c r="P751" s="135">
        <f>MAX(I740:I764)</f>
        <v>0</v>
      </c>
      <c r="Q751" s="95"/>
    </row>
    <row r="752" spans="1:18" ht="14.25" customHeight="1">
      <c r="A752" s="63"/>
      <c r="B752" s="63">
        <v>13</v>
      </c>
      <c r="C752" s="64"/>
      <c r="D752" s="65"/>
      <c r="E752" s="65"/>
      <c r="F752" s="93"/>
      <c r="G752" s="94"/>
      <c r="H752" s="95"/>
      <c r="I752" s="66" t="str">
        <f t="shared" si="92"/>
        <v xml:space="preserve"> </v>
      </c>
      <c r="J752" s="67" t="str">
        <f t="shared" si="93"/>
        <v xml:space="preserve"> </v>
      </c>
      <c r="K752" s="68" t="str">
        <f t="shared" si="94"/>
        <v xml:space="preserve"> </v>
      </c>
      <c r="L752" s="67" t="str">
        <f t="shared" si="95"/>
        <v xml:space="preserve"> </v>
      </c>
      <c r="M752" s="61"/>
      <c r="N752" s="61"/>
      <c r="O752" s="81" t="s">
        <v>32</v>
      </c>
      <c r="P752" s="123">
        <f>MAX(J740:J764)</f>
        <v>0</v>
      </c>
      <c r="Q752" s="95"/>
    </row>
    <row r="753" spans="1:17" ht="14.25" customHeight="1">
      <c r="A753" s="63"/>
      <c r="B753" s="63">
        <v>14</v>
      </c>
      <c r="C753" s="64"/>
      <c r="D753" s="65"/>
      <c r="E753" s="65"/>
      <c r="F753" s="93"/>
      <c r="G753" s="94"/>
      <c r="H753" s="95"/>
      <c r="I753" s="66" t="str">
        <f t="shared" si="92"/>
        <v xml:space="preserve"> </v>
      </c>
      <c r="J753" s="67" t="str">
        <f t="shared" si="93"/>
        <v xml:space="preserve"> </v>
      </c>
      <c r="K753" s="68" t="str">
        <f t="shared" si="94"/>
        <v xml:space="preserve"> </v>
      </c>
      <c r="L753" s="67" t="str">
        <f t="shared" si="95"/>
        <v xml:space="preserve"> </v>
      </c>
      <c r="M753" s="61"/>
      <c r="N753" s="61"/>
      <c r="O753" s="82" t="s">
        <v>33</v>
      </c>
      <c r="P753" s="120">
        <f>MIN(K740:K764)</f>
        <v>0</v>
      </c>
      <c r="Q753" s="95"/>
    </row>
    <row r="754" spans="1:17" ht="14.25" customHeight="1">
      <c r="A754" s="63"/>
      <c r="B754" s="63">
        <v>15</v>
      </c>
      <c r="C754" s="64"/>
      <c r="D754" s="65"/>
      <c r="E754" s="65"/>
      <c r="F754" s="93"/>
      <c r="G754" s="94"/>
      <c r="H754" s="95"/>
      <c r="I754" s="66" t="str">
        <f t="shared" si="92"/>
        <v xml:space="preserve"> </v>
      </c>
      <c r="J754" s="67" t="str">
        <f t="shared" si="93"/>
        <v xml:space="preserve"> </v>
      </c>
      <c r="K754" s="68" t="str">
        <f t="shared" si="94"/>
        <v xml:space="preserve"> </v>
      </c>
      <c r="L754" s="67" t="str">
        <f t="shared" si="95"/>
        <v xml:space="preserve"> </v>
      </c>
      <c r="M754" s="61"/>
      <c r="N754" s="61"/>
      <c r="O754" s="83" t="s">
        <v>34</v>
      </c>
      <c r="P754" s="121">
        <f>MIN(L740:L764)</f>
        <v>0</v>
      </c>
      <c r="Q754" s="122"/>
    </row>
    <row r="755" spans="1:17" ht="14.25" customHeight="1">
      <c r="A755" s="63"/>
      <c r="B755" s="63">
        <v>16</v>
      </c>
      <c r="C755" s="64"/>
      <c r="D755" s="65"/>
      <c r="E755" s="65"/>
      <c r="F755" s="93"/>
      <c r="G755" s="94"/>
      <c r="H755" s="95"/>
      <c r="I755" s="66" t="str">
        <f t="shared" si="92"/>
        <v xml:space="preserve"> </v>
      </c>
      <c r="J755" s="67" t="str">
        <f t="shared" si="93"/>
        <v xml:space="preserve"> </v>
      </c>
      <c r="K755" s="68" t="str">
        <f t="shared" si="94"/>
        <v xml:space="preserve"> </v>
      </c>
      <c r="L755" s="67" t="str">
        <f t="shared" si="95"/>
        <v xml:space="preserve"> </v>
      </c>
      <c r="M755" s="61"/>
      <c r="N755" s="61"/>
      <c r="O755" s="61"/>
    </row>
    <row r="756" spans="1:17" ht="14.25" customHeight="1">
      <c r="A756" s="63"/>
      <c r="B756" s="63">
        <v>17</v>
      </c>
      <c r="C756" s="64"/>
      <c r="D756" s="65"/>
      <c r="E756" s="65"/>
      <c r="F756" s="93"/>
      <c r="G756" s="94"/>
      <c r="H756" s="95"/>
      <c r="I756" s="66" t="str">
        <f t="shared" si="92"/>
        <v xml:space="preserve"> </v>
      </c>
      <c r="J756" s="67" t="str">
        <f t="shared" si="93"/>
        <v xml:space="preserve"> </v>
      </c>
      <c r="K756" s="68" t="str">
        <f t="shared" si="94"/>
        <v xml:space="preserve"> </v>
      </c>
      <c r="L756" s="67" t="str">
        <f t="shared" si="95"/>
        <v xml:space="preserve"> </v>
      </c>
      <c r="M756" s="61"/>
      <c r="N756" s="61"/>
      <c r="O756" s="61"/>
    </row>
    <row r="757" spans="1:17" ht="14.25" customHeight="1">
      <c r="A757" s="63"/>
      <c r="B757" s="63">
        <v>18</v>
      </c>
      <c r="C757" s="64"/>
      <c r="D757" s="65"/>
      <c r="E757" s="65"/>
      <c r="F757" s="93"/>
      <c r="G757" s="94"/>
      <c r="H757" s="95"/>
      <c r="I757" s="66" t="str">
        <f t="shared" si="92"/>
        <v xml:space="preserve"> </v>
      </c>
      <c r="J757" s="67" t="str">
        <f t="shared" si="93"/>
        <v xml:space="preserve"> </v>
      </c>
      <c r="K757" s="68" t="str">
        <f t="shared" si="94"/>
        <v xml:space="preserve"> </v>
      </c>
      <c r="L757" s="67" t="str">
        <f t="shared" si="95"/>
        <v xml:space="preserve"> </v>
      </c>
      <c r="M757" s="61"/>
      <c r="N757" s="61"/>
      <c r="O757" s="61"/>
    </row>
    <row r="758" spans="1:17" ht="14.25" customHeight="1">
      <c r="A758" s="63"/>
      <c r="B758" s="63">
        <v>19</v>
      </c>
      <c r="C758" s="64"/>
      <c r="D758" s="65"/>
      <c r="E758" s="65"/>
      <c r="F758" s="93"/>
      <c r="G758" s="94"/>
      <c r="H758" s="95"/>
      <c r="I758" s="66" t="str">
        <f t="shared" si="92"/>
        <v xml:space="preserve"> </v>
      </c>
      <c r="J758" s="67" t="str">
        <f t="shared" si="93"/>
        <v xml:space="preserve"> </v>
      </c>
      <c r="K758" s="68" t="str">
        <f t="shared" si="94"/>
        <v xml:space="preserve"> </v>
      </c>
      <c r="L758" s="67" t="str">
        <f t="shared" si="95"/>
        <v xml:space="preserve"> </v>
      </c>
      <c r="M758" s="61"/>
      <c r="N758" s="61"/>
      <c r="O758" s="61"/>
    </row>
    <row r="759" spans="1:17" ht="14.25" customHeight="1">
      <c r="A759" s="63"/>
      <c r="B759" s="63">
        <v>20</v>
      </c>
      <c r="C759" s="64"/>
      <c r="D759" s="65"/>
      <c r="E759" s="65"/>
      <c r="F759" s="93"/>
      <c r="G759" s="94"/>
      <c r="H759" s="95"/>
      <c r="I759" s="66" t="str">
        <f t="shared" si="92"/>
        <v xml:space="preserve"> </v>
      </c>
      <c r="J759" s="67" t="str">
        <f t="shared" si="93"/>
        <v xml:space="preserve"> </v>
      </c>
      <c r="K759" s="68" t="str">
        <f t="shared" si="94"/>
        <v xml:space="preserve"> </v>
      </c>
      <c r="L759" s="67" t="str">
        <f t="shared" si="95"/>
        <v xml:space="preserve"> </v>
      </c>
      <c r="M759" s="61"/>
      <c r="N759" s="61"/>
      <c r="O759" s="61"/>
    </row>
    <row r="760" spans="1:17" ht="14.25" customHeight="1">
      <c r="A760" s="63"/>
      <c r="B760" s="63">
        <v>21</v>
      </c>
      <c r="C760" s="64"/>
      <c r="D760" s="65"/>
      <c r="E760" s="65"/>
      <c r="F760" s="93"/>
      <c r="G760" s="94"/>
      <c r="H760" s="95"/>
      <c r="I760" s="66" t="str">
        <f t="shared" si="92"/>
        <v xml:space="preserve"> </v>
      </c>
      <c r="J760" s="67" t="str">
        <f t="shared" si="93"/>
        <v xml:space="preserve"> </v>
      </c>
      <c r="K760" s="68" t="str">
        <f t="shared" si="94"/>
        <v xml:space="preserve"> </v>
      </c>
      <c r="L760" s="67" t="str">
        <f t="shared" si="95"/>
        <v xml:space="preserve"> </v>
      </c>
      <c r="M760" s="61"/>
      <c r="N760" s="61"/>
      <c r="O760" s="61"/>
    </row>
    <row r="761" spans="1:17" ht="14.25" customHeight="1">
      <c r="A761" s="63"/>
      <c r="B761" s="63">
        <v>22</v>
      </c>
      <c r="C761" s="64"/>
      <c r="D761" s="65"/>
      <c r="E761" s="65"/>
      <c r="F761" s="93"/>
      <c r="G761" s="94"/>
      <c r="H761" s="95"/>
      <c r="I761" s="66" t="str">
        <f t="shared" si="92"/>
        <v xml:space="preserve"> </v>
      </c>
      <c r="J761" s="67" t="str">
        <f t="shared" si="93"/>
        <v xml:space="preserve"> </v>
      </c>
      <c r="K761" s="68" t="str">
        <f t="shared" si="94"/>
        <v xml:space="preserve"> </v>
      </c>
      <c r="L761" s="67" t="str">
        <f t="shared" si="95"/>
        <v xml:space="preserve"> </v>
      </c>
      <c r="M761" s="61"/>
      <c r="N761" s="61"/>
      <c r="O761" s="61"/>
    </row>
    <row r="762" spans="1:17" ht="14.25" customHeight="1">
      <c r="A762" s="63"/>
      <c r="B762" s="63">
        <v>23</v>
      </c>
      <c r="C762" s="64"/>
      <c r="D762" s="65"/>
      <c r="E762" s="65"/>
      <c r="F762" s="93"/>
      <c r="G762" s="94"/>
      <c r="H762" s="95"/>
      <c r="I762" s="66" t="str">
        <f t="shared" si="92"/>
        <v xml:space="preserve"> </v>
      </c>
      <c r="J762" s="67" t="str">
        <f t="shared" si="93"/>
        <v xml:space="preserve"> </v>
      </c>
      <c r="K762" s="68" t="str">
        <f t="shared" si="94"/>
        <v xml:space="preserve"> </v>
      </c>
      <c r="L762" s="67" t="str">
        <f t="shared" si="95"/>
        <v xml:space="preserve"> </v>
      </c>
      <c r="M762" s="61"/>
      <c r="N762" s="61"/>
      <c r="O762" s="61"/>
    </row>
    <row r="763" spans="1:17" ht="14.25" customHeight="1">
      <c r="A763" s="63"/>
      <c r="B763" s="63">
        <v>24</v>
      </c>
      <c r="C763" s="64"/>
      <c r="D763" s="65"/>
      <c r="E763" s="65"/>
      <c r="F763" s="93"/>
      <c r="G763" s="94"/>
      <c r="H763" s="95"/>
      <c r="I763" s="66" t="str">
        <f t="shared" si="92"/>
        <v xml:space="preserve"> </v>
      </c>
      <c r="J763" s="67" t="str">
        <f t="shared" si="93"/>
        <v xml:space="preserve"> </v>
      </c>
      <c r="K763" s="68" t="str">
        <f t="shared" si="94"/>
        <v xml:space="preserve"> </v>
      </c>
      <c r="L763" s="67" t="str">
        <f t="shared" si="95"/>
        <v xml:space="preserve"> </v>
      </c>
      <c r="M763" s="61"/>
      <c r="N763" s="61"/>
      <c r="O763" s="61"/>
    </row>
    <row r="764" spans="1:17" ht="14.25" customHeight="1">
      <c r="A764" s="63"/>
      <c r="B764" s="63">
        <v>25</v>
      </c>
      <c r="C764" s="87"/>
      <c r="D764" s="65"/>
      <c r="E764" s="65"/>
      <c r="F764" s="93"/>
      <c r="G764" s="94"/>
      <c r="H764" s="95"/>
      <c r="I764" s="66" t="str">
        <f t="shared" si="92"/>
        <v xml:space="preserve"> </v>
      </c>
      <c r="J764" s="67" t="str">
        <f t="shared" si="93"/>
        <v xml:space="preserve"> </v>
      </c>
      <c r="K764" s="68" t="str">
        <f t="shared" si="94"/>
        <v xml:space="preserve"> </v>
      </c>
      <c r="L764" s="67" t="str">
        <f t="shared" si="95"/>
        <v xml:space="preserve"> </v>
      </c>
      <c r="M764" s="61"/>
      <c r="N764" s="61"/>
      <c r="O764" s="61"/>
    </row>
    <row r="765" spans="1:17" ht="14.25" customHeight="1">
      <c r="A765" s="99" t="s">
        <v>35</v>
      </c>
      <c r="B765" s="84">
        <f>COUNT(I740:I764)</f>
        <v>0</v>
      </c>
      <c r="C765" s="84">
        <f>COUNT(K740:K764)</f>
        <v>0</v>
      </c>
      <c r="D765" s="84">
        <f>SUM(E740:E764)*2</f>
        <v>0</v>
      </c>
      <c r="E765" s="84"/>
      <c r="F765" s="84"/>
      <c r="G765" s="84"/>
      <c r="H765" s="84"/>
      <c r="I765" s="96" t="s">
        <v>36</v>
      </c>
      <c r="J765" s="97"/>
      <c r="K765" s="98" t="s">
        <v>37</v>
      </c>
      <c r="L765" s="97"/>
      <c r="M765" s="61"/>
      <c r="N765" s="61"/>
      <c r="O765" s="61"/>
    </row>
    <row r="766" spans="1:17" ht="14.25" customHeight="1">
      <c r="A766" s="105"/>
      <c r="B766" s="85"/>
      <c r="C766" s="85"/>
      <c r="D766" s="85"/>
      <c r="E766" s="85"/>
      <c r="F766" s="85"/>
      <c r="G766" s="85"/>
      <c r="H766" s="85"/>
      <c r="I766" s="99">
        <f>I734</f>
        <v>15</v>
      </c>
      <c r="J766" s="100"/>
      <c r="K766" s="103">
        <f>I766*D765*1.07</f>
        <v>0</v>
      </c>
      <c r="L766" s="100"/>
    </row>
    <row r="767" spans="1:17" ht="15.75" customHeight="1">
      <c r="A767" s="101"/>
      <c r="B767" s="86"/>
      <c r="C767" s="86"/>
      <c r="D767" s="86"/>
      <c r="E767" s="86"/>
      <c r="F767" s="86"/>
      <c r="G767" s="86"/>
      <c r="H767" s="86"/>
      <c r="I767" s="101"/>
      <c r="J767" s="102"/>
      <c r="K767" s="104"/>
      <c r="L767" s="102"/>
    </row>
    <row r="768" spans="1:17" ht="14.25" customHeight="1"/>
    <row r="769" spans="1:18" ht="14.25" customHeight="1"/>
    <row r="770" spans="1:18" ht="14.25" customHeight="1">
      <c r="A770" s="106" t="s">
        <v>2</v>
      </c>
      <c r="B770" s="107"/>
      <c r="C770" s="107"/>
      <c r="D770" s="107"/>
      <c r="E770" s="97"/>
      <c r="F770" s="106" t="s">
        <v>3</v>
      </c>
      <c r="G770" s="107"/>
      <c r="H770" s="97"/>
      <c r="I770" s="108" t="s">
        <v>4</v>
      </c>
      <c r="J770" s="109"/>
      <c r="K770" s="110" t="s">
        <v>5</v>
      </c>
      <c r="L770" s="109"/>
      <c r="O770" s="111" t="s">
        <v>7</v>
      </c>
      <c r="P770" s="107"/>
      <c r="Q770" s="107"/>
      <c r="R770" s="97"/>
    </row>
    <row r="771" spans="1:18" ht="14.25" customHeight="1">
      <c r="A771" s="55" t="s">
        <v>8</v>
      </c>
      <c r="B771" s="55" t="s">
        <v>9</v>
      </c>
      <c r="C771" s="55" t="s">
        <v>10</v>
      </c>
      <c r="D771" s="56" t="s">
        <v>11</v>
      </c>
      <c r="E771" s="57" t="s">
        <v>12</v>
      </c>
      <c r="F771" s="117" t="s">
        <v>11</v>
      </c>
      <c r="G771" s="104"/>
      <c r="H771" s="102"/>
      <c r="I771" s="58" t="s">
        <v>13</v>
      </c>
      <c r="J771" s="59" t="s">
        <v>14</v>
      </c>
      <c r="K771" s="60" t="s">
        <v>13</v>
      </c>
      <c r="L771" s="59" t="s">
        <v>14</v>
      </c>
      <c r="M771" s="61"/>
      <c r="N771" s="61"/>
      <c r="O771" s="112" t="s">
        <v>15</v>
      </c>
      <c r="P771" s="113"/>
      <c r="Q771" s="113"/>
      <c r="R771" s="114"/>
    </row>
    <row r="772" spans="1:18" ht="14.25" customHeight="1">
      <c r="A772" s="62">
        <v>42370</v>
      </c>
      <c r="B772" s="63">
        <v>1</v>
      </c>
      <c r="C772" s="64"/>
      <c r="D772" s="65"/>
      <c r="E772" s="65"/>
      <c r="F772" s="118"/>
      <c r="G772" s="119"/>
      <c r="H772" s="109"/>
      <c r="I772" s="66" t="str">
        <f t="shared" ref="I772:I796" si="96">IF(C772="L",IF(F772-D772&gt;0,F772-D772," "),IF(D772-F772&gt;0,D772-F772," "))</f>
        <v xml:space="preserve"> </v>
      </c>
      <c r="J772" s="67" t="str">
        <f t="shared" ref="J772:J796" si="97">IF(C772="L",IF(F772-D772&gt;0,(F772-D772)*200*E772," "),IF(D772-F772&gt;0,(D772-F772)*200*E772," "))</f>
        <v xml:space="preserve"> </v>
      </c>
      <c r="K772" s="68" t="str">
        <f t="shared" ref="K772:K796" si="98">IF(C772="L",IF(F772-D772&lt;0,F772-D772," "),IF(D772-F772&lt;0,D772-F772," "))</f>
        <v xml:space="preserve"> </v>
      </c>
      <c r="L772" s="67" t="str">
        <f t="shared" ref="L772:L796" si="99">IF(C772="L",IF(F772-D772&lt;0,(F772-D772)*200*E772," "),IF(D772-F772&lt;0,(D772-F772)*200*E772," "))</f>
        <v xml:space="preserve"> </v>
      </c>
      <c r="M772" s="61"/>
      <c r="N772" s="61"/>
      <c r="O772" s="22" t="s">
        <v>19</v>
      </c>
      <c r="P772" s="23">
        <f>B797+C797</f>
        <v>0</v>
      </c>
      <c r="Q772" s="115"/>
      <c r="R772" s="116"/>
    </row>
    <row r="773" spans="1:18" ht="14.25" customHeight="1">
      <c r="A773" s="63"/>
      <c r="B773" s="63">
        <v>2</v>
      </c>
      <c r="C773" s="64"/>
      <c r="D773" s="65"/>
      <c r="E773" s="65"/>
      <c r="F773" s="93"/>
      <c r="G773" s="94"/>
      <c r="H773" s="95"/>
      <c r="I773" s="66" t="str">
        <f t="shared" si="96"/>
        <v xml:space="preserve"> </v>
      </c>
      <c r="J773" s="67" t="str">
        <f t="shared" si="97"/>
        <v xml:space="preserve"> </v>
      </c>
      <c r="K773" s="68" t="str">
        <f t="shared" si="98"/>
        <v xml:space="preserve"> </v>
      </c>
      <c r="L773" s="67" t="str">
        <f t="shared" si="99"/>
        <v xml:space="preserve"> </v>
      </c>
      <c r="M773" s="61"/>
      <c r="N773" s="61"/>
      <c r="O773" s="70" t="s">
        <v>20</v>
      </c>
      <c r="P773" s="71" t="e">
        <f>B797/P772*100</f>
        <v>#DIV/0!</v>
      </c>
      <c r="Q773" s="72" t="s">
        <v>21</v>
      </c>
      <c r="R773" s="73" t="e">
        <f>C797/P772*100</f>
        <v>#DIV/0!</v>
      </c>
    </row>
    <row r="774" spans="1:18" ht="14.25" customHeight="1">
      <c r="A774" s="63"/>
      <c r="B774" s="63">
        <v>3</v>
      </c>
      <c r="C774" s="64"/>
      <c r="D774" s="65"/>
      <c r="E774" s="65"/>
      <c r="F774" s="93"/>
      <c r="G774" s="94"/>
      <c r="H774" s="95"/>
      <c r="I774" s="66" t="str">
        <f t="shared" si="96"/>
        <v xml:space="preserve"> </v>
      </c>
      <c r="J774" s="67" t="str">
        <f t="shared" si="97"/>
        <v xml:space="preserve"> </v>
      </c>
      <c r="K774" s="68" t="str">
        <f t="shared" si="98"/>
        <v xml:space="preserve"> </v>
      </c>
      <c r="L774" s="67" t="str">
        <f t="shared" si="99"/>
        <v xml:space="preserve"> </v>
      </c>
      <c r="M774" s="61"/>
      <c r="N774" s="61"/>
      <c r="O774" s="70" t="s">
        <v>22</v>
      </c>
      <c r="P774" s="74" t="e">
        <f>SUM(I772:I796)/B797</f>
        <v>#DIV/0!</v>
      </c>
      <c r="Q774" s="72" t="s">
        <v>23</v>
      </c>
      <c r="R774" s="75" t="e">
        <f>SUM(K772:K796)/C797</f>
        <v>#DIV/0!</v>
      </c>
    </row>
    <row r="775" spans="1:18" ht="14.25" customHeight="1">
      <c r="A775" s="63"/>
      <c r="B775" s="63">
        <v>4</v>
      </c>
      <c r="C775" s="64"/>
      <c r="D775" s="65"/>
      <c r="E775" s="65"/>
      <c r="F775" s="93"/>
      <c r="G775" s="94"/>
      <c r="H775" s="95"/>
      <c r="I775" s="66" t="str">
        <f t="shared" si="96"/>
        <v xml:space="preserve"> </v>
      </c>
      <c r="J775" s="67" t="str">
        <f t="shared" si="97"/>
        <v xml:space="preserve"> </v>
      </c>
      <c r="K775" s="68" t="str">
        <f t="shared" si="98"/>
        <v xml:space="preserve"> </v>
      </c>
      <c r="L775" s="67" t="str">
        <f t="shared" si="99"/>
        <v xml:space="preserve"> </v>
      </c>
      <c r="M775" s="61"/>
      <c r="N775" s="61"/>
      <c r="O775" s="76" t="s">
        <v>24</v>
      </c>
      <c r="P775" s="77">
        <f>SUM(J772:J796)</f>
        <v>0</v>
      </c>
      <c r="Q775" s="78" t="s">
        <v>25</v>
      </c>
      <c r="R775" s="79">
        <f>SUM(L772:L796)</f>
        <v>0</v>
      </c>
    </row>
    <row r="776" spans="1:18" ht="14.25" customHeight="1">
      <c r="A776" s="63"/>
      <c r="B776" s="63">
        <v>5</v>
      </c>
      <c r="C776" s="64"/>
      <c r="D776" s="65"/>
      <c r="E776" s="65"/>
      <c r="F776" s="93"/>
      <c r="G776" s="94"/>
      <c r="H776" s="95"/>
      <c r="I776" s="66" t="str">
        <f t="shared" si="96"/>
        <v xml:space="preserve"> </v>
      </c>
      <c r="J776" s="67" t="str">
        <f t="shared" si="97"/>
        <v xml:space="preserve"> </v>
      </c>
      <c r="K776" s="68" t="str">
        <f t="shared" si="98"/>
        <v xml:space="preserve"> </v>
      </c>
      <c r="L776" s="67" t="str">
        <f t="shared" si="99"/>
        <v xml:space="preserve"> </v>
      </c>
      <c r="M776" s="61"/>
      <c r="N776" s="61"/>
      <c r="O776" s="128" t="s">
        <v>26</v>
      </c>
      <c r="P776" s="119"/>
      <c r="Q776" s="119"/>
      <c r="R776" s="109"/>
    </row>
    <row r="777" spans="1:18" ht="14.25" customHeight="1">
      <c r="A777" s="63"/>
      <c r="B777" s="63">
        <v>6</v>
      </c>
      <c r="C777" s="64"/>
      <c r="D777" s="65"/>
      <c r="E777" s="65"/>
      <c r="F777" s="93"/>
      <c r="G777" s="94"/>
      <c r="H777" s="95"/>
      <c r="I777" s="66" t="str">
        <f t="shared" si="96"/>
        <v xml:space="preserve"> </v>
      </c>
      <c r="J777" s="67" t="str">
        <f t="shared" si="97"/>
        <v xml:space="preserve"> </v>
      </c>
      <c r="K777" s="68" t="str">
        <f t="shared" si="98"/>
        <v xml:space="preserve"> </v>
      </c>
      <c r="L777" s="67" t="str">
        <f t="shared" si="99"/>
        <v xml:space="preserve"> </v>
      </c>
      <c r="M777" s="61"/>
      <c r="N777" s="61"/>
      <c r="O777" s="129" t="s">
        <v>27</v>
      </c>
      <c r="P777" s="131">
        <f>P775+R775-K798</f>
        <v>0</v>
      </c>
      <c r="Q777" s="129" t="s">
        <v>28</v>
      </c>
      <c r="R777" s="133" t="e">
        <f>K798/P777</f>
        <v>#DIV/0!</v>
      </c>
    </row>
    <row r="778" spans="1:18" ht="14.25" customHeight="1">
      <c r="A778" s="63"/>
      <c r="B778" s="63">
        <v>7</v>
      </c>
      <c r="C778" s="64"/>
      <c r="D778" s="65"/>
      <c r="E778" s="65"/>
      <c r="F778" s="93"/>
      <c r="G778" s="94"/>
      <c r="H778" s="95"/>
      <c r="I778" s="66" t="str">
        <f t="shared" si="96"/>
        <v xml:space="preserve"> </v>
      </c>
      <c r="J778" s="67" t="str">
        <f t="shared" si="97"/>
        <v xml:space="preserve"> </v>
      </c>
      <c r="K778" s="68" t="str">
        <f t="shared" si="98"/>
        <v xml:space="preserve"> </v>
      </c>
      <c r="L778" s="67" t="str">
        <f t="shared" si="99"/>
        <v xml:space="preserve"> </v>
      </c>
      <c r="M778" s="61"/>
      <c r="N778" s="61"/>
      <c r="O778" s="130"/>
      <c r="P778" s="132"/>
      <c r="Q778" s="130"/>
      <c r="R778" s="132"/>
    </row>
    <row r="779" spans="1:18" ht="14.25" customHeight="1">
      <c r="A779" s="63"/>
      <c r="B779" s="63">
        <v>8</v>
      </c>
      <c r="C779" s="64"/>
      <c r="D779" s="65"/>
      <c r="E779" s="65"/>
      <c r="F779" s="93"/>
      <c r="G779" s="94"/>
      <c r="H779" s="95"/>
      <c r="I779" s="66" t="str">
        <f t="shared" si="96"/>
        <v xml:space="preserve"> </v>
      </c>
      <c r="J779" s="67" t="str">
        <f t="shared" si="97"/>
        <v xml:space="preserve"> </v>
      </c>
      <c r="K779" s="68" t="str">
        <f t="shared" si="98"/>
        <v xml:space="preserve"> </v>
      </c>
      <c r="L779" s="67" t="str">
        <f t="shared" si="99"/>
        <v xml:space="preserve"> </v>
      </c>
      <c r="M779" s="61"/>
      <c r="N779" s="61"/>
      <c r="O779" s="124" t="s">
        <v>29</v>
      </c>
      <c r="P779" s="125"/>
      <c r="Q779" s="100"/>
      <c r="R779" s="126" t="e">
        <f>IF(R775&lt;0,((P773*P774/100)+(R773*R774/100)),P774)</f>
        <v>#DIV/0!</v>
      </c>
    </row>
    <row r="780" spans="1:18" ht="14.25" customHeight="1">
      <c r="A780" s="63"/>
      <c r="B780" s="63">
        <v>9</v>
      </c>
      <c r="C780" s="64"/>
      <c r="D780" s="65"/>
      <c r="E780" s="65"/>
      <c r="F780" s="93"/>
      <c r="G780" s="94"/>
      <c r="H780" s="95"/>
      <c r="I780" s="66" t="str">
        <f t="shared" si="96"/>
        <v xml:space="preserve"> </v>
      </c>
      <c r="J780" s="67" t="str">
        <f t="shared" si="97"/>
        <v xml:space="preserve"> </v>
      </c>
      <c r="K780" s="68" t="str">
        <f t="shared" si="98"/>
        <v xml:space="preserve"> </v>
      </c>
      <c r="L780" s="67" t="str">
        <f t="shared" si="99"/>
        <v xml:space="preserve"> </v>
      </c>
      <c r="M780" s="61"/>
      <c r="N780" s="61"/>
      <c r="O780" s="101"/>
      <c r="P780" s="104"/>
      <c r="Q780" s="102"/>
      <c r="R780" s="127"/>
    </row>
    <row r="781" spans="1:18" ht="14.25" customHeight="1">
      <c r="A781" s="63"/>
      <c r="B781" s="63">
        <v>10</v>
      </c>
      <c r="C781" s="64"/>
      <c r="D781" s="65"/>
      <c r="E781" s="65"/>
      <c r="F781" s="93"/>
      <c r="G781" s="94"/>
      <c r="H781" s="95"/>
      <c r="I781" s="66" t="str">
        <f t="shared" si="96"/>
        <v xml:space="preserve"> </v>
      </c>
      <c r="J781" s="67" t="str">
        <f t="shared" si="97"/>
        <v xml:space="preserve"> </v>
      </c>
      <c r="K781" s="68" t="str">
        <f t="shared" si="98"/>
        <v xml:space="preserve"> </v>
      </c>
      <c r="L781" s="67" t="str">
        <f t="shared" si="99"/>
        <v xml:space="preserve"> </v>
      </c>
      <c r="M781" s="61"/>
      <c r="N781" s="61"/>
    </row>
    <row r="782" spans="1:18" ht="14.25" customHeight="1">
      <c r="A782" s="63"/>
      <c r="B782" s="63">
        <v>11</v>
      </c>
      <c r="C782" s="64"/>
      <c r="D782" s="65"/>
      <c r="E782" s="65"/>
      <c r="F782" s="93"/>
      <c r="G782" s="94"/>
      <c r="H782" s="95"/>
      <c r="I782" s="66" t="str">
        <f t="shared" si="96"/>
        <v xml:space="preserve"> </v>
      </c>
      <c r="J782" s="67" t="str">
        <f t="shared" si="97"/>
        <v xml:space="preserve"> </v>
      </c>
      <c r="K782" s="68" t="str">
        <f t="shared" si="98"/>
        <v xml:space="preserve"> </v>
      </c>
      <c r="L782" s="67" t="str">
        <f t="shared" si="99"/>
        <v xml:space="preserve"> </v>
      </c>
      <c r="M782" s="61"/>
      <c r="N782" s="61"/>
      <c r="O782" s="134" t="s">
        <v>30</v>
      </c>
      <c r="P782" s="107"/>
      <c r="Q782" s="97"/>
    </row>
    <row r="783" spans="1:18" ht="14.25" customHeight="1">
      <c r="A783" s="63"/>
      <c r="B783" s="63">
        <v>12</v>
      </c>
      <c r="C783" s="64"/>
      <c r="D783" s="65"/>
      <c r="E783" s="65"/>
      <c r="F783" s="93"/>
      <c r="G783" s="94"/>
      <c r="H783" s="95"/>
      <c r="I783" s="66" t="str">
        <f t="shared" si="96"/>
        <v xml:space="preserve"> </v>
      </c>
      <c r="J783" s="67" t="str">
        <f t="shared" si="97"/>
        <v xml:space="preserve"> </v>
      </c>
      <c r="K783" s="68" t="str">
        <f t="shared" si="98"/>
        <v xml:space="preserve"> </v>
      </c>
      <c r="L783" s="67" t="str">
        <f t="shared" si="99"/>
        <v xml:space="preserve"> </v>
      </c>
      <c r="M783" s="61"/>
      <c r="N783" s="61"/>
      <c r="O783" s="80" t="s">
        <v>31</v>
      </c>
      <c r="P783" s="135">
        <f>MAX(I772:I796)</f>
        <v>0</v>
      </c>
      <c r="Q783" s="95"/>
    </row>
    <row r="784" spans="1:18" ht="14.25" customHeight="1">
      <c r="A784" s="63"/>
      <c r="B784" s="63">
        <v>13</v>
      </c>
      <c r="C784" s="64"/>
      <c r="D784" s="65"/>
      <c r="E784" s="65"/>
      <c r="F784" s="93"/>
      <c r="G784" s="94"/>
      <c r="H784" s="95"/>
      <c r="I784" s="66" t="str">
        <f t="shared" si="96"/>
        <v xml:space="preserve"> </v>
      </c>
      <c r="J784" s="67" t="str">
        <f t="shared" si="97"/>
        <v xml:space="preserve"> </v>
      </c>
      <c r="K784" s="68" t="str">
        <f t="shared" si="98"/>
        <v xml:space="preserve"> </v>
      </c>
      <c r="L784" s="67" t="str">
        <f t="shared" si="99"/>
        <v xml:space="preserve"> </v>
      </c>
      <c r="M784" s="61"/>
      <c r="N784" s="61"/>
      <c r="O784" s="81" t="s">
        <v>32</v>
      </c>
      <c r="P784" s="123">
        <f>MAX(J772:J796)</f>
        <v>0</v>
      </c>
      <c r="Q784" s="95"/>
    </row>
    <row r="785" spans="1:17" ht="14.25" customHeight="1">
      <c r="A785" s="63"/>
      <c r="B785" s="63">
        <v>14</v>
      </c>
      <c r="C785" s="64"/>
      <c r="D785" s="65"/>
      <c r="E785" s="65"/>
      <c r="F785" s="93"/>
      <c r="G785" s="94"/>
      <c r="H785" s="95"/>
      <c r="I785" s="66" t="str">
        <f t="shared" si="96"/>
        <v xml:space="preserve"> </v>
      </c>
      <c r="J785" s="67" t="str">
        <f t="shared" si="97"/>
        <v xml:space="preserve"> </v>
      </c>
      <c r="K785" s="68" t="str">
        <f t="shared" si="98"/>
        <v xml:space="preserve"> </v>
      </c>
      <c r="L785" s="67" t="str">
        <f t="shared" si="99"/>
        <v xml:space="preserve"> </v>
      </c>
      <c r="M785" s="61"/>
      <c r="N785" s="61"/>
      <c r="O785" s="82" t="s">
        <v>33</v>
      </c>
      <c r="P785" s="120">
        <f>MIN(K772:K796)</f>
        <v>0</v>
      </c>
      <c r="Q785" s="95"/>
    </row>
    <row r="786" spans="1:17" ht="14.25" customHeight="1">
      <c r="A786" s="63"/>
      <c r="B786" s="63">
        <v>15</v>
      </c>
      <c r="C786" s="64"/>
      <c r="D786" s="65"/>
      <c r="E786" s="65"/>
      <c r="F786" s="93"/>
      <c r="G786" s="94"/>
      <c r="H786" s="95"/>
      <c r="I786" s="66" t="str">
        <f t="shared" si="96"/>
        <v xml:space="preserve"> </v>
      </c>
      <c r="J786" s="67" t="str">
        <f t="shared" si="97"/>
        <v xml:space="preserve"> </v>
      </c>
      <c r="K786" s="68" t="str">
        <f t="shared" si="98"/>
        <v xml:space="preserve"> </v>
      </c>
      <c r="L786" s="67" t="str">
        <f t="shared" si="99"/>
        <v xml:space="preserve"> </v>
      </c>
      <c r="M786" s="61"/>
      <c r="N786" s="61"/>
      <c r="O786" s="83" t="s">
        <v>34</v>
      </c>
      <c r="P786" s="121">
        <f>MIN(L772:L796)</f>
        <v>0</v>
      </c>
      <c r="Q786" s="122"/>
    </row>
    <row r="787" spans="1:17" ht="14.25" customHeight="1">
      <c r="A787" s="63"/>
      <c r="B787" s="63">
        <v>16</v>
      </c>
      <c r="C787" s="64"/>
      <c r="D787" s="65"/>
      <c r="E787" s="65"/>
      <c r="F787" s="93"/>
      <c r="G787" s="94"/>
      <c r="H787" s="95"/>
      <c r="I787" s="66" t="str">
        <f t="shared" si="96"/>
        <v xml:space="preserve"> </v>
      </c>
      <c r="J787" s="67" t="str">
        <f t="shared" si="97"/>
        <v xml:space="preserve"> </v>
      </c>
      <c r="K787" s="68" t="str">
        <f t="shared" si="98"/>
        <v xml:space="preserve"> </v>
      </c>
      <c r="L787" s="67" t="str">
        <f t="shared" si="99"/>
        <v xml:space="preserve"> </v>
      </c>
      <c r="M787" s="61"/>
      <c r="N787" s="61"/>
      <c r="O787" s="61"/>
    </row>
    <row r="788" spans="1:17" ht="14.25" customHeight="1">
      <c r="A788" s="63"/>
      <c r="B788" s="63">
        <v>17</v>
      </c>
      <c r="C788" s="64"/>
      <c r="D788" s="65"/>
      <c r="E788" s="65"/>
      <c r="F788" s="93"/>
      <c r="G788" s="94"/>
      <c r="H788" s="95"/>
      <c r="I788" s="66" t="str">
        <f t="shared" si="96"/>
        <v xml:space="preserve"> </v>
      </c>
      <c r="J788" s="67" t="str">
        <f t="shared" si="97"/>
        <v xml:space="preserve"> </v>
      </c>
      <c r="K788" s="68" t="str">
        <f t="shared" si="98"/>
        <v xml:space="preserve"> </v>
      </c>
      <c r="L788" s="67" t="str">
        <f t="shared" si="99"/>
        <v xml:space="preserve"> </v>
      </c>
      <c r="M788" s="61"/>
      <c r="N788" s="61"/>
      <c r="O788" s="61"/>
    </row>
    <row r="789" spans="1:17" ht="14.25" customHeight="1">
      <c r="A789" s="63"/>
      <c r="B789" s="63">
        <v>18</v>
      </c>
      <c r="C789" s="64"/>
      <c r="D789" s="65"/>
      <c r="E789" s="65"/>
      <c r="F789" s="93"/>
      <c r="G789" s="94"/>
      <c r="H789" s="95"/>
      <c r="I789" s="66" t="str">
        <f t="shared" si="96"/>
        <v xml:space="preserve"> </v>
      </c>
      <c r="J789" s="67" t="str">
        <f t="shared" si="97"/>
        <v xml:space="preserve"> </v>
      </c>
      <c r="K789" s="68" t="str">
        <f t="shared" si="98"/>
        <v xml:space="preserve"> </v>
      </c>
      <c r="L789" s="67" t="str">
        <f t="shared" si="99"/>
        <v xml:space="preserve"> </v>
      </c>
      <c r="M789" s="61"/>
      <c r="N789" s="61"/>
      <c r="O789" s="61"/>
    </row>
    <row r="790" spans="1:17" ht="14.25" customHeight="1">
      <c r="A790" s="63"/>
      <c r="B790" s="63">
        <v>19</v>
      </c>
      <c r="C790" s="64"/>
      <c r="D790" s="65"/>
      <c r="E790" s="65"/>
      <c r="F790" s="93"/>
      <c r="G790" s="94"/>
      <c r="H790" s="95"/>
      <c r="I790" s="66" t="str">
        <f t="shared" si="96"/>
        <v xml:space="preserve"> </v>
      </c>
      <c r="J790" s="67" t="str">
        <f t="shared" si="97"/>
        <v xml:space="preserve"> </v>
      </c>
      <c r="K790" s="68" t="str">
        <f t="shared" si="98"/>
        <v xml:space="preserve"> </v>
      </c>
      <c r="L790" s="67" t="str">
        <f t="shared" si="99"/>
        <v xml:space="preserve"> </v>
      </c>
      <c r="M790" s="61"/>
      <c r="N790" s="61"/>
      <c r="O790" s="61"/>
    </row>
    <row r="791" spans="1:17" ht="14.25" customHeight="1">
      <c r="A791" s="63"/>
      <c r="B791" s="63">
        <v>20</v>
      </c>
      <c r="C791" s="64"/>
      <c r="D791" s="65"/>
      <c r="E791" s="65"/>
      <c r="F791" s="93"/>
      <c r="G791" s="94"/>
      <c r="H791" s="95"/>
      <c r="I791" s="66" t="str">
        <f t="shared" si="96"/>
        <v xml:space="preserve"> </v>
      </c>
      <c r="J791" s="67" t="str">
        <f t="shared" si="97"/>
        <v xml:space="preserve"> </v>
      </c>
      <c r="K791" s="68" t="str">
        <f t="shared" si="98"/>
        <v xml:space="preserve"> </v>
      </c>
      <c r="L791" s="67" t="str">
        <f t="shared" si="99"/>
        <v xml:space="preserve"> </v>
      </c>
      <c r="M791" s="61"/>
      <c r="N791" s="61"/>
      <c r="O791" s="61"/>
    </row>
    <row r="792" spans="1:17" ht="14.25" customHeight="1">
      <c r="A792" s="63"/>
      <c r="B792" s="63">
        <v>21</v>
      </c>
      <c r="C792" s="64"/>
      <c r="D792" s="65"/>
      <c r="E792" s="65"/>
      <c r="F792" s="93"/>
      <c r="G792" s="94"/>
      <c r="H792" s="95"/>
      <c r="I792" s="66" t="str">
        <f t="shared" si="96"/>
        <v xml:space="preserve"> </v>
      </c>
      <c r="J792" s="67" t="str">
        <f t="shared" si="97"/>
        <v xml:space="preserve"> </v>
      </c>
      <c r="K792" s="68" t="str">
        <f t="shared" si="98"/>
        <v xml:space="preserve"> </v>
      </c>
      <c r="L792" s="67" t="str">
        <f t="shared" si="99"/>
        <v xml:space="preserve"> </v>
      </c>
      <c r="M792" s="61"/>
      <c r="N792" s="61"/>
      <c r="O792" s="61"/>
    </row>
    <row r="793" spans="1:17" ht="14.25" customHeight="1">
      <c r="A793" s="63"/>
      <c r="B793" s="63">
        <v>22</v>
      </c>
      <c r="C793" s="64"/>
      <c r="D793" s="65"/>
      <c r="E793" s="65"/>
      <c r="F793" s="93"/>
      <c r="G793" s="94"/>
      <c r="H793" s="95"/>
      <c r="I793" s="66" t="str">
        <f t="shared" si="96"/>
        <v xml:space="preserve"> </v>
      </c>
      <c r="J793" s="67" t="str">
        <f t="shared" si="97"/>
        <v xml:space="preserve"> </v>
      </c>
      <c r="K793" s="68" t="str">
        <f t="shared" si="98"/>
        <v xml:space="preserve"> </v>
      </c>
      <c r="L793" s="67" t="str">
        <f t="shared" si="99"/>
        <v xml:space="preserve"> </v>
      </c>
      <c r="M793" s="61"/>
      <c r="N793" s="61"/>
      <c r="O793" s="61"/>
    </row>
    <row r="794" spans="1:17" ht="14.25" customHeight="1">
      <c r="A794" s="63"/>
      <c r="B794" s="63">
        <v>23</v>
      </c>
      <c r="C794" s="64"/>
      <c r="D794" s="65"/>
      <c r="E794" s="65"/>
      <c r="F794" s="93"/>
      <c r="G794" s="94"/>
      <c r="H794" s="95"/>
      <c r="I794" s="66" t="str">
        <f t="shared" si="96"/>
        <v xml:space="preserve"> </v>
      </c>
      <c r="J794" s="67" t="str">
        <f t="shared" si="97"/>
        <v xml:space="preserve"> </v>
      </c>
      <c r="K794" s="68" t="str">
        <f t="shared" si="98"/>
        <v xml:space="preserve"> </v>
      </c>
      <c r="L794" s="67" t="str">
        <f t="shared" si="99"/>
        <v xml:space="preserve"> </v>
      </c>
      <c r="M794" s="61"/>
      <c r="N794" s="61"/>
      <c r="O794" s="61"/>
    </row>
    <row r="795" spans="1:17" ht="14.25" customHeight="1">
      <c r="A795" s="63"/>
      <c r="B795" s="63">
        <v>24</v>
      </c>
      <c r="C795" s="64"/>
      <c r="D795" s="65"/>
      <c r="E795" s="65"/>
      <c r="F795" s="93"/>
      <c r="G795" s="94"/>
      <c r="H795" s="95"/>
      <c r="I795" s="66" t="str">
        <f t="shared" si="96"/>
        <v xml:space="preserve"> </v>
      </c>
      <c r="J795" s="67" t="str">
        <f t="shared" si="97"/>
        <v xml:space="preserve"> </v>
      </c>
      <c r="K795" s="68" t="str">
        <f t="shared" si="98"/>
        <v xml:space="preserve"> </v>
      </c>
      <c r="L795" s="67" t="str">
        <f t="shared" si="99"/>
        <v xml:space="preserve"> </v>
      </c>
      <c r="M795" s="61"/>
      <c r="N795" s="61"/>
      <c r="O795" s="61"/>
    </row>
    <row r="796" spans="1:17" ht="14.25" customHeight="1">
      <c r="A796" s="63"/>
      <c r="B796" s="63">
        <v>25</v>
      </c>
      <c r="C796" s="87"/>
      <c r="D796" s="65"/>
      <c r="E796" s="65"/>
      <c r="F796" s="93"/>
      <c r="G796" s="94"/>
      <c r="H796" s="95"/>
      <c r="I796" s="66" t="str">
        <f t="shared" si="96"/>
        <v xml:space="preserve"> </v>
      </c>
      <c r="J796" s="67" t="str">
        <f t="shared" si="97"/>
        <v xml:space="preserve"> </v>
      </c>
      <c r="K796" s="68" t="str">
        <f t="shared" si="98"/>
        <v xml:space="preserve"> </v>
      </c>
      <c r="L796" s="67" t="str">
        <f t="shared" si="99"/>
        <v xml:space="preserve"> </v>
      </c>
      <c r="M796" s="61"/>
      <c r="N796" s="61"/>
      <c r="O796" s="61"/>
    </row>
    <row r="797" spans="1:17" ht="14.25" customHeight="1">
      <c r="A797" s="99" t="s">
        <v>35</v>
      </c>
      <c r="B797" s="84">
        <f>COUNT(I772:I796)</f>
        <v>0</v>
      </c>
      <c r="C797" s="84">
        <f>COUNT(K772:K796)</f>
        <v>0</v>
      </c>
      <c r="D797" s="84">
        <f>SUM(E772:E796)*2</f>
        <v>0</v>
      </c>
      <c r="E797" s="84"/>
      <c r="F797" s="84"/>
      <c r="G797" s="84"/>
      <c r="H797" s="84"/>
      <c r="I797" s="96" t="s">
        <v>36</v>
      </c>
      <c r="J797" s="97"/>
      <c r="K797" s="98" t="s">
        <v>37</v>
      </c>
      <c r="L797" s="97"/>
      <c r="M797" s="61"/>
      <c r="N797" s="61"/>
      <c r="O797" s="61"/>
    </row>
    <row r="798" spans="1:17" ht="14.25" customHeight="1">
      <c r="A798" s="105"/>
      <c r="B798" s="85"/>
      <c r="C798" s="85"/>
      <c r="D798" s="85"/>
      <c r="E798" s="85"/>
      <c r="F798" s="85"/>
      <c r="G798" s="85"/>
      <c r="H798" s="85"/>
      <c r="I798" s="99">
        <f>I766</f>
        <v>15</v>
      </c>
      <c r="J798" s="100"/>
      <c r="K798" s="103">
        <f>I798*D797*1.07</f>
        <v>0</v>
      </c>
      <c r="L798" s="100"/>
    </row>
    <row r="799" spans="1:17" ht="15.75" customHeight="1">
      <c r="A799" s="101"/>
      <c r="B799" s="86"/>
      <c r="C799" s="86"/>
      <c r="D799" s="86"/>
      <c r="E799" s="86"/>
      <c r="F799" s="86"/>
      <c r="G799" s="86"/>
      <c r="H799" s="86"/>
      <c r="I799" s="101"/>
      <c r="J799" s="102"/>
      <c r="K799" s="104"/>
      <c r="L799" s="102"/>
    </row>
    <row r="800" spans="1:17" ht="14.25" customHeight="1"/>
    <row r="801" spans="1:18" ht="14.25" customHeight="1"/>
    <row r="802" spans="1:18" ht="14.25" customHeight="1">
      <c r="A802" s="106" t="s">
        <v>2</v>
      </c>
      <c r="B802" s="107"/>
      <c r="C802" s="107"/>
      <c r="D802" s="107"/>
      <c r="E802" s="97"/>
      <c r="F802" s="106" t="s">
        <v>3</v>
      </c>
      <c r="G802" s="107"/>
      <c r="H802" s="97"/>
      <c r="I802" s="108" t="s">
        <v>4</v>
      </c>
      <c r="J802" s="109"/>
      <c r="K802" s="110" t="s">
        <v>5</v>
      </c>
      <c r="L802" s="109"/>
      <c r="O802" s="111" t="s">
        <v>7</v>
      </c>
      <c r="P802" s="107"/>
      <c r="Q802" s="107"/>
      <c r="R802" s="97"/>
    </row>
    <row r="803" spans="1:18" ht="14.25" customHeight="1">
      <c r="A803" s="55" t="s">
        <v>8</v>
      </c>
      <c r="B803" s="55" t="s">
        <v>9</v>
      </c>
      <c r="C803" s="55" t="s">
        <v>10</v>
      </c>
      <c r="D803" s="56" t="s">
        <v>11</v>
      </c>
      <c r="E803" s="57" t="s">
        <v>12</v>
      </c>
      <c r="F803" s="117" t="s">
        <v>11</v>
      </c>
      <c r="G803" s="104"/>
      <c r="H803" s="102"/>
      <c r="I803" s="58" t="s">
        <v>13</v>
      </c>
      <c r="J803" s="59" t="s">
        <v>14</v>
      </c>
      <c r="K803" s="60" t="s">
        <v>13</v>
      </c>
      <c r="L803" s="59" t="s">
        <v>14</v>
      </c>
      <c r="M803" s="61"/>
      <c r="N803" s="61"/>
      <c r="O803" s="112" t="s">
        <v>15</v>
      </c>
      <c r="P803" s="113"/>
      <c r="Q803" s="113"/>
      <c r="R803" s="114"/>
    </row>
    <row r="804" spans="1:18" ht="14.25" customHeight="1">
      <c r="A804" s="62">
        <v>42370</v>
      </c>
      <c r="B804" s="63">
        <v>1</v>
      </c>
      <c r="C804" s="64"/>
      <c r="D804" s="65"/>
      <c r="E804" s="65"/>
      <c r="F804" s="118"/>
      <c r="G804" s="119"/>
      <c r="H804" s="109"/>
      <c r="I804" s="66" t="str">
        <f t="shared" ref="I804:I828" si="100">IF(C804="L",IF(F804-D804&gt;0,F804-D804," "),IF(D804-F804&gt;0,D804-F804," "))</f>
        <v xml:space="preserve"> </v>
      </c>
      <c r="J804" s="67" t="str">
        <f t="shared" ref="J804:J828" si="101">IF(C804="L",IF(F804-D804&gt;0,(F804-D804)*200*E804," "),IF(D804-F804&gt;0,(D804-F804)*200*E804," "))</f>
        <v xml:space="preserve"> </v>
      </c>
      <c r="K804" s="68" t="str">
        <f t="shared" ref="K804:K828" si="102">IF(C804="L",IF(F804-D804&lt;0,F804-D804," "),IF(D804-F804&lt;0,D804-F804," "))</f>
        <v xml:space="preserve"> </v>
      </c>
      <c r="L804" s="67" t="str">
        <f t="shared" ref="L804:L828" si="103">IF(C804="L",IF(F804-D804&lt;0,(F804-D804)*200*E804," "),IF(D804-F804&lt;0,(D804-F804)*200*E804," "))</f>
        <v xml:space="preserve"> </v>
      </c>
      <c r="M804" s="61"/>
      <c r="N804" s="61"/>
      <c r="O804" s="22" t="s">
        <v>19</v>
      </c>
      <c r="P804" s="23">
        <f>B829+C829</f>
        <v>0</v>
      </c>
      <c r="Q804" s="115"/>
      <c r="R804" s="116"/>
    </row>
    <row r="805" spans="1:18" ht="14.25" customHeight="1">
      <c r="A805" s="63"/>
      <c r="B805" s="63">
        <v>2</v>
      </c>
      <c r="C805" s="64"/>
      <c r="D805" s="65"/>
      <c r="E805" s="65"/>
      <c r="F805" s="93"/>
      <c r="G805" s="94"/>
      <c r="H805" s="95"/>
      <c r="I805" s="66" t="str">
        <f t="shared" si="100"/>
        <v xml:space="preserve"> </v>
      </c>
      <c r="J805" s="67" t="str">
        <f t="shared" si="101"/>
        <v xml:space="preserve"> </v>
      </c>
      <c r="K805" s="68" t="str">
        <f t="shared" si="102"/>
        <v xml:space="preserve"> </v>
      </c>
      <c r="L805" s="67" t="str">
        <f t="shared" si="103"/>
        <v xml:space="preserve"> </v>
      </c>
      <c r="M805" s="61"/>
      <c r="N805" s="61"/>
      <c r="O805" s="70" t="s">
        <v>20</v>
      </c>
      <c r="P805" s="71" t="e">
        <f>B829/P804*100</f>
        <v>#DIV/0!</v>
      </c>
      <c r="Q805" s="72" t="s">
        <v>21</v>
      </c>
      <c r="R805" s="73" t="e">
        <f>C829/P804*100</f>
        <v>#DIV/0!</v>
      </c>
    </row>
    <row r="806" spans="1:18" ht="14.25" customHeight="1">
      <c r="A806" s="63"/>
      <c r="B806" s="63">
        <v>3</v>
      </c>
      <c r="C806" s="64"/>
      <c r="D806" s="65"/>
      <c r="E806" s="65"/>
      <c r="F806" s="93"/>
      <c r="G806" s="94"/>
      <c r="H806" s="95"/>
      <c r="I806" s="66" t="str">
        <f t="shared" si="100"/>
        <v xml:space="preserve"> </v>
      </c>
      <c r="J806" s="67" t="str">
        <f t="shared" si="101"/>
        <v xml:space="preserve"> </v>
      </c>
      <c r="K806" s="68" t="str">
        <f t="shared" si="102"/>
        <v xml:space="preserve"> </v>
      </c>
      <c r="L806" s="67" t="str">
        <f t="shared" si="103"/>
        <v xml:space="preserve"> </v>
      </c>
      <c r="M806" s="61"/>
      <c r="N806" s="61"/>
      <c r="O806" s="70" t="s">
        <v>22</v>
      </c>
      <c r="P806" s="74" t="e">
        <f>SUM(I804:I828)/B829</f>
        <v>#DIV/0!</v>
      </c>
      <c r="Q806" s="72" t="s">
        <v>23</v>
      </c>
      <c r="R806" s="75" t="e">
        <f>SUM(K804:K828)/C829</f>
        <v>#DIV/0!</v>
      </c>
    </row>
    <row r="807" spans="1:18" ht="14.25" customHeight="1">
      <c r="A807" s="63"/>
      <c r="B807" s="63">
        <v>4</v>
      </c>
      <c r="C807" s="64"/>
      <c r="D807" s="65"/>
      <c r="E807" s="65"/>
      <c r="F807" s="93"/>
      <c r="G807" s="94"/>
      <c r="H807" s="95"/>
      <c r="I807" s="66" t="str">
        <f t="shared" si="100"/>
        <v xml:space="preserve"> </v>
      </c>
      <c r="J807" s="67" t="str">
        <f t="shared" si="101"/>
        <v xml:space="preserve"> </v>
      </c>
      <c r="K807" s="68" t="str">
        <f t="shared" si="102"/>
        <v xml:space="preserve"> </v>
      </c>
      <c r="L807" s="67" t="str">
        <f t="shared" si="103"/>
        <v xml:space="preserve"> </v>
      </c>
      <c r="M807" s="61"/>
      <c r="N807" s="61"/>
      <c r="O807" s="76" t="s">
        <v>24</v>
      </c>
      <c r="P807" s="77">
        <f>SUM(J804:J828)</f>
        <v>0</v>
      </c>
      <c r="Q807" s="78" t="s">
        <v>25</v>
      </c>
      <c r="R807" s="79">
        <f>SUM(L804:L828)</f>
        <v>0</v>
      </c>
    </row>
    <row r="808" spans="1:18" ht="14.25" customHeight="1">
      <c r="A808" s="63"/>
      <c r="B808" s="63">
        <v>5</v>
      </c>
      <c r="C808" s="64"/>
      <c r="D808" s="65"/>
      <c r="E808" s="65"/>
      <c r="F808" s="93"/>
      <c r="G808" s="94"/>
      <c r="H808" s="95"/>
      <c r="I808" s="66" t="str">
        <f t="shared" si="100"/>
        <v xml:space="preserve"> </v>
      </c>
      <c r="J808" s="67" t="str">
        <f t="shared" si="101"/>
        <v xml:space="preserve"> </v>
      </c>
      <c r="K808" s="68" t="str">
        <f t="shared" si="102"/>
        <v xml:space="preserve"> </v>
      </c>
      <c r="L808" s="67" t="str">
        <f t="shared" si="103"/>
        <v xml:space="preserve"> </v>
      </c>
      <c r="M808" s="61"/>
      <c r="N808" s="61"/>
      <c r="O808" s="128" t="s">
        <v>26</v>
      </c>
      <c r="P808" s="119"/>
      <c r="Q808" s="119"/>
      <c r="R808" s="109"/>
    </row>
    <row r="809" spans="1:18" ht="14.25" customHeight="1">
      <c r="A809" s="63"/>
      <c r="B809" s="63">
        <v>6</v>
      </c>
      <c r="C809" s="64"/>
      <c r="D809" s="65"/>
      <c r="E809" s="65"/>
      <c r="F809" s="93"/>
      <c r="G809" s="94"/>
      <c r="H809" s="95"/>
      <c r="I809" s="66" t="str">
        <f t="shared" si="100"/>
        <v xml:space="preserve"> </v>
      </c>
      <c r="J809" s="67" t="str">
        <f t="shared" si="101"/>
        <v xml:space="preserve"> </v>
      </c>
      <c r="K809" s="68" t="str">
        <f t="shared" si="102"/>
        <v xml:space="preserve"> </v>
      </c>
      <c r="L809" s="67" t="str">
        <f t="shared" si="103"/>
        <v xml:space="preserve"> </v>
      </c>
      <c r="M809" s="61"/>
      <c r="N809" s="61"/>
      <c r="O809" s="129" t="s">
        <v>27</v>
      </c>
      <c r="P809" s="131">
        <f>P807+R807-K830</f>
        <v>0</v>
      </c>
      <c r="Q809" s="129" t="s">
        <v>28</v>
      </c>
      <c r="R809" s="133" t="e">
        <f>K830/P809</f>
        <v>#DIV/0!</v>
      </c>
    </row>
    <row r="810" spans="1:18" ht="14.25" customHeight="1">
      <c r="A810" s="63"/>
      <c r="B810" s="63">
        <v>7</v>
      </c>
      <c r="C810" s="64"/>
      <c r="D810" s="65"/>
      <c r="E810" s="65"/>
      <c r="F810" s="93"/>
      <c r="G810" s="94"/>
      <c r="H810" s="95"/>
      <c r="I810" s="66" t="str">
        <f t="shared" si="100"/>
        <v xml:space="preserve"> </v>
      </c>
      <c r="J810" s="67" t="str">
        <f t="shared" si="101"/>
        <v xml:space="preserve"> </v>
      </c>
      <c r="K810" s="68" t="str">
        <f t="shared" si="102"/>
        <v xml:space="preserve"> </v>
      </c>
      <c r="L810" s="67" t="str">
        <f t="shared" si="103"/>
        <v xml:space="preserve"> </v>
      </c>
      <c r="M810" s="61"/>
      <c r="N810" s="61"/>
      <c r="O810" s="130"/>
      <c r="P810" s="132"/>
      <c r="Q810" s="130"/>
      <c r="R810" s="132"/>
    </row>
    <row r="811" spans="1:18" ht="14.25" customHeight="1">
      <c r="A811" s="63"/>
      <c r="B811" s="63">
        <v>8</v>
      </c>
      <c r="C811" s="64"/>
      <c r="D811" s="65"/>
      <c r="E811" s="65"/>
      <c r="F811" s="93"/>
      <c r="G811" s="94"/>
      <c r="H811" s="95"/>
      <c r="I811" s="66" t="str">
        <f t="shared" si="100"/>
        <v xml:space="preserve"> </v>
      </c>
      <c r="J811" s="67" t="str">
        <f t="shared" si="101"/>
        <v xml:space="preserve"> </v>
      </c>
      <c r="K811" s="68" t="str">
        <f t="shared" si="102"/>
        <v xml:space="preserve"> </v>
      </c>
      <c r="L811" s="67" t="str">
        <f t="shared" si="103"/>
        <v xml:space="preserve"> </v>
      </c>
      <c r="M811" s="61"/>
      <c r="N811" s="61"/>
      <c r="O811" s="124" t="s">
        <v>29</v>
      </c>
      <c r="P811" s="125"/>
      <c r="Q811" s="100"/>
      <c r="R811" s="126" t="e">
        <f>IF(R807&lt;0,((P805*P806/100)+(R805*R806/100)),P806)</f>
        <v>#DIV/0!</v>
      </c>
    </row>
    <row r="812" spans="1:18" ht="14.25" customHeight="1">
      <c r="A812" s="63"/>
      <c r="B812" s="63">
        <v>9</v>
      </c>
      <c r="C812" s="64"/>
      <c r="D812" s="65"/>
      <c r="E812" s="65"/>
      <c r="F812" s="93"/>
      <c r="G812" s="94"/>
      <c r="H812" s="95"/>
      <c r="I812" s="66" t="str">
        <f t="shared" si="100"/>
        <v xml:space="preserve"> </v>
      </c>
      <c r="J812" s="67" t="str">
        <f t="shared" si="101"/>
        <v xml:space="preserve"> </v>
      </c>
      <c r="K812" s="68" t="str">
        <f t="shared" si="102"/>
        <v xml:space="preserve"> </v>
      </c>
      <c r="L812" s="67" t="str">
        <f t="shared" si="103"/>
        <v xml:space="preserve"> </v>
      </c>
      <c r="M812" s="61"/>
      <c r="N812" s="61"/>
      <c r="O812" s="101"/>
      <c r="P812" s="104"/>
      <c r="Q812" s="102"/>
      <c r="R812" s="127"/>
    </row>
    <row r="813" spans="1:18" ht="14.25" customHeight="1">
      <c r="A813" s="63"/>
      <c r="B813" s="63">
        <v>10</v>
      </c>
      <c r="C813" s="64"/>
      <c r="D813" s="65"/>
      <c r="E813" s="65"/>
      <c r="F813" s="93"/>
      <c r="G813" s="94"/>
      <c r="H813" s="95"/>
      <c r="I813" s="66" t="str">
        <f t="shared" si="100"/>
        <v xml:space="preserve"> </v>
      </c>
      <c r="J813" s="67" t="str">
        <f t="shared" si="101"/>
        <v xml:space="preserve"> </v>
      </c>
      <c r="K813" s="68" t="str">
        <f t="shared" si="102"/>
        <v xml:space="preserve"> </v>
      </c>
      <c r="L813" s="67" t="str">
        <f t="shared" si="103"/>
        <v xml:space="preserve"> </v>
      </c>
      <c r="M813" s="61"/>
      <c r="N813" s="61"/>
    </row>
    <row r="814" spans="1:18" ht="14.25" customHeight="1">
      <c r="A814" s="63"/>
      <c r="B814" s="63">
        <v>11</v>
      </c>
      <c r="C814" s="64"/>
      <c r="D814" s="65"/>
      <c r="E814" s="65"/>
      <c r="F814" s="93"/>
      <c r="G814" s="94"/>
      <c r="H814" s="95"/>
      <c r="I814" s="66" t="str">
        <f t="shared" si="100"/>
        <v xml:space="preserve"> </v>
      </c>
      <c r="J814" s="67" t="str">
        <f t="shared" si="101"/>
        <v xml:space="preserve"> </v>
      </c>
      <c r="K814" s="68" t="str">
        <f t="shared" si="102"/>
        <v xml:space="preserve"> </v>
      </c>
      <c r="L814" s="67" t="str">
        <f t="shared" si="103"/>
        <v xml:space="preserve"> </v>
      </c>
      <c r="M814" s="61"/>
      <c r="N814" s="61"/>
      <c r="O814" s="134" t="s">
        <v>30</v>
      </c>
      <c r="P814" s="107"/>
      <c r="Q814" s="97"/>
    </row>
    <row r="815" spans="1:18" ht="14.25" customHeight="1">
      <c r="A815" s="63"/>
      <c r="B815" s="63">
        <v>12</v>
      </c>
      <c r="C815" s="64"/>
      <c r="D815" s="65"/>
      <c r="E815" s="65"/>
      <c r="F815" s="93"/>
      <c r="G815" s="94"/>
      <c r="H815" s="95"/>
      <c r="I815" s="66" t="str">
        <f t="shared" si="100"/>
        <v xml:space="preserve"> </v>
      </c>
      <c r="J815" s="67" t="str">
        <f t="shared" si="101"/>
        <v xml:space="preserve"> </v>
      </c>
      <c r="K815" s="68" t="str">
        <f t="shared" si="102"/>
        <v xml:space="preserve"> </v>
      </c>
      <c r="L815" s="67" t="str">
        <f t="shared" si="103"/>
        <v xml:space="preserve"> </v>
      </c>
      <c r="M815" s="61"/>
      <c r="N815" s="61"/>
      <c r="O815" s="80" t="s">
        <v>31</v>
      </c>
      <c r="P815" s="135">
        <f>MAX(I804:I828)</f>
        <v>0</v>
      </c>
      <c r="Q815" s="95"/>
    </row>
    <row r="816" spans="1:18" ht="14.25" customHeight="1">
      <c r="A816" s="63"/>
      <c r="B816" s="63">
        <v>13</v>
      </c>
      <c r="C816" s="64"/>
      <c r="D816" s="65"/>
      <c r="E816" s="65"/>
      <c r="F816" s="93"/>
      <c r="G816" s="94"/>
      <c r="H816" s="95"/>
      <c r="I816" s="66" t="str">
        <f t="shared" si="100"/>
        <v xml:space="preserve"> </v>
      </c>
      <c r="J816" s="67" t="str">
        <f t="shared" si="101"/>
        <v xml:space="preserve"> </v>
      </c>
      <c r="K816" s="68" t="str">
        <f t="shared" si="102"/>
        <v xml:space="preserve"> </v>
      </c>
      <c r="L816" s="67" t="str">
        <f t="shared" si="103"/>
        <v xml:space="preserve"> </v>
      </c>
      <c r="M816" s="61"/>
      <c r="N816" s="61"/>
      <c r="O816" s="81" t="s">
        <v>32</v>
      </c>
      <c r="P816" s="123">
        <f>MAX(J804:J828)</f>
        <v>0</v>
      </c>
      <c r="Q816" s="95"/>
    </row>
    <row r="817" spans="1:17" ht="14.25" customHeight="1">
      <c r="A817" s="63"/>
      <c r="B817" s="63">
        <v>14</v>
      </c>
      <c r="C817" s="64"/>
      <c r="D817" s="65"/>
      <c r="E817" s="65"/>
      <c r="F817" s="93"/>
      <c r="G817" s="94"/>
      <c r="H817" s="95"/>
      <c r="I817" s="66" t="str">
        <f t="shared" si="100"/>
        <v xml:space="preserve"> </v>
      </c>
      <c r="J817" s="67" t="str">
        <f t="shared" si="101"/>
        <v xml:space="preserve"> </v>
      </c>
      <c r="K817" s="68" t="str">
        <f t="shared" si="102"/>
        <v xml:space="preserve"> </v>
      </c>
      <c r="L817" s="67" t="str">
        <f t="shared" si="103"/>
        <v xml:space="preserve"> </v>
      </c>
      <c r="M817" s="61"/>
      <c r="N817" s="61"/>
      <c r="O817" s="82" t="s">
        <v>33</v>
      </c>
      <c r="P817" s="120">
        <f>MIN(K804:K828)</f>
        <v>0</v>
      </c>
      <c r="Q817" s="95"/>
    </row>
    <row r="818" spans="1:17" ht="14.25" customHeight="1">
      <c r="A818" s="63"/>
      <c r="B818" s="63">
        <v>15</v>
      </c>
      <c r="C818" s="64"/>
      <c r="D818" s="65"/>
      <c r="E818" s="65"/>
      <c r="F818" s="93"/>
      <c r="G818" s="94"/>
      <c r="H818" s="95"/>
      <c r="I818" s="66" t="str">
        <f t="shared" si="100"/>
        <v xml:space="preserve"> </v>
      </c>
      <c r="J818" s="67" t="str">
        <f t="shared" si="101"/>
        <v xml:space="preserve"> </v>
      </c>
      <c r="K818" s="68" t="str">
        <f t="shared" si="102"/>
        <v xml:space="preserve"> </v>
      </c>
      <c r="L818" s="67" t="str">
        <f t="shared" si="103"/>
        <v xml:space="preserve"> </v>
      </c>
      <c r="M818" s="61"/>
      <c r="N818" s="61"/>
      <c r="O818" s="83" t="s">
        <v>34</v>
      </c>
      <c r="P818" s="121">
        <f>MIN(L804:L828)</f>
        <v>0</v>
      </c>
      <c r="Q818" s="122"/>
    </row>
    <row r="819" spans="1:17" ht="14.25" customHeight="1">
      <c r="A819" s="63"/>
      <c r="B819" s="63">
        <v>16</v>
      </c>
      <c r="C819" s="64"/>
      <c r="D819" s="65"/>
      <c r="E819" s="65"/>
      <c r="F819" s="93"/>
      <c r="G819" s="94"/>
      <c r="H819" s="95"/>
      <c r="I819" s="66" t="str">
        <f t="shared" si="100"/>
        <v xml:space="preserve"> </v>
      </c>
      <c r="J819" s="67" t="str">
        <f t="shared" si="101"/>
        <v xml:space="preserve"> </v>
      </c>
      <c r="K819" s="68" t="str">
        <f t="shared" si="102"/>
        <v xml:space="preserve"> </v>
      </c>
      <c r="L819" s="67" t="str">
        <f t="shared" si="103"/>
        <v xml:space="preserve"> </v>
      </c>
      <c r="M819" s="61"/>
      <c r="N819" s="61"/>
      <c r="O819" s="61"/>
    </row>
    <row r="820" spans="1:17" ht="14.25" customHeight="1">
      <c r="A820" s="63"/>
      <c r="B820" s="63">
        <v>17</v>
      </c>
      <c r="C820" s="64"/>
      <c r="D820" s="65"/>
      <c r="E820" s="65"/>
      <c r="F820" s="93"/>
      <c r="G820" s="94"/>
      <c r="H820" s="95"/>
      <c r="I820" s="66" t="str">
        <f t="shared" si="100"/>
        <v xml:space="preserve"> </v>
      </c>
      <c r="J820" s="67" t="str">
        <f t="shared" si="101"/>
        <v xml:space="preserve"> </v>
      </c>
      <c r="K820" s="68" t="str">
        <f t="shared" si="102"/>
        <v xml:space="preserve"> </v>
      </c>
      <c r="L820" s="67" t="str">
        <f t="shared" si="103"/>
        <v xml:space="preserve"> </v>
      </c>
      <c r="M820" s="61"/>
      <c r="N820" s="61"/>
      <c r="O820" s="61"/>
    </row>
    <row r="821" spans="1:17" ht="14.25" customHeight="1">
      <c r="A821" s="63"/>
      <c r="B821" s="63">
        <v>18</v>
      </c>
      <c r="C821" s="64"/>
      <c r="D821" s="65"/>
      <c r="E821" s="65"/>
      <c r="F821" s="93"/>
      <c r="G821" s="94"/>
      <c r="H821" s="95"/>
      <c r="I821" s="66" t="str">
        <f t="shared" si="100"/>
        <v xml:space="preserve"> </v>
      </c>
      <c r="J821" s="67" t="str">
        <f t="shared" si="101"/>
        <v xml:space="preserve"> </v>
      </c>
      <c r="K821" s="68" t="str">
        <f t="shared" si="102"/>
        <v xml:space="preserve"> </v>
      </c>
      <c r="L821" s="67" t="str">
        <f t="shared" si="103"/>
        <v xml:space="preserve"> </v>
      </c>
      <c r="M821" s="61"/>
      <c r="N821" s="61"/>
      <c r="O821" s="61"/>
    </row>
    <row r="822" spans="1:17" ht="14.25" customHeight="1">
      <c r="A822" s="63"/>
      <c r="B822" s="63">
        <v>19</v>
      </c>
      <c r="C822" s="64"/>
      <c r="D822" s="65"/>
      <c r="E822" s="65"/>
      <c r="F822" s="93"/>
      <c r="G822" s="94"/>
      <c r="H822" s="95"/>
      <c r="I822" s="66" t="str">
        <f t="shared" si="100"/>
        <v xml:space="preserve"> </v>
      </c>
      <c r="J822" s="67" t="str">
        <f t="shared" si="101"/>
        <v xml:space="preserve"> </v>
      </c>
      <c r="K822" s="68" t="str">
        <f t="shared" si="102"/>
        <v xml:space="preserve"> </v>
      </c>
      <c r="L822" s="67" t="str">
        <f t="shared" si="103"/>
        <v xml:space="preserve"> </v>
      </c>
      <c r="M822" s="61"/>
      <c r="N822" s="61"/>
      <c r="O822" s="61"/>
    </row>
    <row r="823" spans="1:17" ht="14.25" customHeight="1">
      <c r="A823" s="63"/>
      <c r="B823" s="63">
        <v>20</v>
      </c>
      <c r="C823" s="64"/>
      <c r="D823" s="65"/>
      <c r="E823" s="65"/>
      <c r="F823" s="93"/>
      <c r="G823" s="94"/>
      <c r="H823" s="95"/>
      <c r="I823" s="66" t="str">
        <f t="shared" si="100"/>
        <v xml:space="preserve"> </v>
      </c>
      <c r="J823" s="67" t="str">
        <f t="shared" si="101"/>
        <v xml:space="preserve"> </v>
      </c>
      <c r="K823" s="68" t="str">
        <f t="shared" si="102"/>
        <v xml:space="preserve"> </v>
      </c>
      <c r="L823" s="67" t="str">
        <f t="shared" si="103"/>
        <v xml:space="preserve"> </v>
      </c>
      <c r="M823" s="61"/>
      <c r="N823" s="61"/>
      <c r="O823" s="61"/>
    </row>
    <row r="824" spans="1:17" ht="14.25" customHeight="1">
      <c r="A824" s="63"/>
      <c r="B824" s="63">
        <v>21</v>
      </c>
      <c r="C824" s="64"/>
      <c r="D824" s="65"/>
      <c r="E824" s="65"/>
      <c r="F824" s="93"/>
      <c r="G824" s="94"/>
      <c r="H824" s="95"/>
      <c r="I824" s="66" t="str">
        <f t="shared" si="100"/>
        <v xml:space="preserve"> </v>
      </c>
      <c r="J824" s="67" t="str">
        <f t="shared" si="101"/>
        <v xml:space="preserve"> </v>
      </c>
      <c r="K824" s="68" t="str">
        <f t="shared" si="102"/>
        <v xml:space="preserve"> </v>
      </c>
      <c r="L824" s="67" t="str">
        <f t="shared" si="103"/>
        <v xml:space="preserve"> </v>
      </c>
      <c r="M824" s="61"/>
      <c r="N824" s="61"/>
      <c r="O824" s="61"/>
    </row>
    <row r="825" spans="1:17" ht="14.25" customHeight="1">
      <c r="A825" s="63"/>
      <c r="B825" s="63">
        <v>22</v>
      </c>
      <c r="C825" s="64"/>
      <c r="D825" s="65"/>
      <c r="E825" s="65"/>
      <c r="F825" s="93"/>
      <c r="G825" s="94"/>
      <c r="H825" s="95"/>
      <c r="I825" s="66" t="str">
        <f t="shared" si="100"/>
        <v xml:space="preserve"> </v>
      </c>
      <c r="J825" s="67" t="str">
        <f t="shared" si="101"/>
        <v xml:space="preserve"> </v>
      </c>
      <c r="K825" s="68" t="str">
        <f t="shared" si="102"/>
        <v xml:space="preserve"> </v>
      </c>
      <c r="L825" s="67" t="str">
        <f t="shared" si="103"/>
        <v xml:space="preserve"> </v>
      </c>
      <c r="M825" s="61"/>
      <c r="N825" s="61"/>
      <c r="O825" s="61"/>
    </row>
    <row r="826" spans="1:17" ht="14.25" customHeight="1">
      <c r="A826" s="63"/>
      <c r="B826" s="63">
        <v>23</v>
      </c>
      <c r="C826" s="64"/>
      <c r="D826" s="65"/>
      <c r="E826" s="65"/>
      <c r="F826" s="93"/>
      <c r="G826" s="94"/>
      <c r="H826" s="95"/>
      <c r="I826" s="66" t="str">
        <f t="shared" si="100"/>
        <v xml:space="preserve"> </v>
      </c>
      <c r="J826" s="67" t="str">
        <f t="shared" si="101"/>
        <v xml:space="preserve"> </v>
      </c>
      <c r="K826" s="68" t="str">
        <f t="shared" si="102"/>
        <v xml:space="preserve"> </v>
      </c>
      <c r="L826" s="67" t="str">
        <f t="shared" si="103"/>
        <v xml:space="preserve"> </v>
      </c>
      <c r="M826" s="61"/>
      <c r="N826" s="61"/>
      <c r="O826" s="61"/>
    </row>
    <row r="827" spans="1:17" ht="14.25" customHeight="1">
      <c r="A827" s="63"/>
      <c r="B827" s="63">
        <v>24</v>
      </c>
      <c r="C827" s="64"/>
      <c r="D827" s="65"/>
      <c r="E827" s="65"/>
      <c r="F827" s="93"/>
      <c r="G827" s="94"/>
      <c r="H827" s="95"/>
      <c r="I827" s="66" t="str">
        <f t="shared" si="100"/>
        <v xml:space="preserve"> </v>
      </c>
      <c r="J827" s="67" t="str">
        <f t="shared" si="101"/>
        <v xml:space="preserve"> </v>
      </c>
      <c r="K827" s="68" t="str">
        <f t="shared" si="102"/>
        <v xml:space="preserve"> </v>
      </c>
      <c r="L827" s="67" t="str">
        <f t="shared" si="103"/>
        <v xml:space="preserve"> </v>
      </c>
      <c r="M827" s="61"/>
      <c r="N827" s="61"/>
      <c r="O827" s="61"/>
    </row>
    <row r="828" spans="1:17" ht="14.25" customHeight="1">
      <c r="A828" s="63"/>
      <c r="B828" s="63">
        <v>25</v>
      </c>
      <c r="C828" s="87"/>
      <c r="D828" s="65"/>
      <c r="E828" s="65"/>
      <c r="F828" s="93"/>
      <c r="G828" s="94"/>
      <c r="H828" s="95"/>
      <c r="I828" s="66" t="str">
        <f t="shared" si="100"/>
        <v xml:space="preserve"> </v>
      </c>
      <c r="J828" s="67" t="str">
        <f t="shared" si="101"/>
        <v xml:space="preserve"> </v>
      </c>
      <c r="K828" s="68" t="str">
        <f t="shared" si="102"/>
        <v xml:space="preserve"> </v>
      </c>
      <c r="L828" s="67" t="str">
        <f t="shared" si="103"/>
        <v xml:space="preserve"> </v>
      </c>
      <c r="M828" s="61"/>
      <c r="N828" s="61"/>
      <c r="O828" s="61"/>
    </row>
    <row r="829" spans="1:17" ht="14.25" customHeight="1">
      <c r="A829" s="99" t="s">
        <v>35</v>
      </c>
      <c r="B829" s="84">
        <f>COUNT(I804:I828)</f>
        <v>0</v>
      </c>
      <c r="C829" s="84">
        <f>COUNT(K804:K828)</f>
        <v>0</v>
      </c>
      <c r="D829" s="84">
        <f>SUM(E804:E828)*2</f>
        <v>0</v>
      </c>
      <c r="E829" s="84"/>
      <c r="F829" s="84"/>
      <c r="G829" s="84"/>
      <c r="H829" s="84"/>
      <c r="I829" s="96" t="s">
        <v>36</v>
      </c>
      <c r="J829" s="97"/>
      <c r="K829" s="98" t="s">
        <v>37</v>
      </c>
      <c r="L829" s="97"/>
      <c r="M829" s="61"/>
      <c r="N829" s="61"/>
      <c r="O829" s="61"/>
    </row>
    <row r="830" spans="1:17" ht="14.25" customHeight="1">
      <c r="A830" s="105"/>
      <c r="B830" s="85"/>
      <c r="C830" s="85"/>
      <c r="D830" s="85"/>
      <c r="E830" s="85"/>
      <c r="F830" s="85"/>
      <c r="G830" s="85"/>
      <c r="H830" s="85"/>
      <c r="I830" s="99">
        <f>I798</f>
        <v>15</v>
      </c>
      <c r="J830" s="100"/>
      <c r="K830" s="103">
        <f>I830*D829*1.07</f>
        <v>0</v>
      </c>
      <c r="L830" s="100"/>
    </row>
    <row r="831" spans="1:17" ht="15.75" customHeight="1">
      <c r="A831" s="101"/>
      <c r="B831" s="86"/>
      <c r="C831" s="86"/>
      <c r="D831" s="86"/>
      <c r="E831" s="86"/>
      <c r="F831" s="86"/>
      <c r="G831" s="86"/>
      <c r="H831" s="86"/>
      <c r="I831" s="101"/>
      <c r="J831" s="102"/>
      <c r="K831" s="104"/>
      <c r="L831" s="102"/>
    </row>
    <row r="832" spans="1:17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03">
    <mergeCell ref="I798:J799"/>
    <mergeCell ref="K798:L799"/>
    <mergeCell ref="A797:A799"/>
    <mergeCell ref="A802:E802"/>
    <mergeCell ref="F802:H802"/>
    <mergeCell ref="I802:J802"/>
    <mergeCell ref="K802:L802"/>
    <mergeCell ref="O802:R802"/>
    <mergeCell ref="O803:R803"/>
    <mergeCell ref="Q804:R804"/>
    <mergeCell ref="F803:H803"/>
    <mergeCell ref="F804:H804"/>
    <mergeCell ref="F805:H805"/>
    <mergeCell ref="F806:H806"/>
    <mergeCell ref="F807:H807"/>
    <mergeCell ref="F808:H808"/>
    <mergeCell ref="F809:H809"/>
    <mergeCell ref="A829:A831"/>
    <mergeCell ref="F773:H773"/>
    <mergeCell ref="F774:H774"/>
    <mergeCell ref="F775:H775"/>
    <mergeCell ref="F776:H776"/>
    <mergeCell ref="F777:H777"/>
    <mergeCell ref="F778:H778"/>
    <mergeCell ref="F779:H779"/>
    <mergeCell ref="F780:H780"/>
    <mergeCell ref="F781:H781"/>
    <mergeCell ref="F782:H782"/>
    <mergeCell ref="F783:H783"/>
    <mergeCell ref="F784:H784"/>
    <mergeCell ref="F785:H785"/>
    <mergeCell ref="F786:H786"/>
    <mergeCell ref="F787:H787"/>
    <mergeCell ref="F788:H788"/>
    <mergeCell ref="F789:H789"/>
    <mergeCell ref="F790:H790"/>
    <mergeCell ref="F791:H791"/>
    <mergeCell ref="F792:H792"/>
    <mergeCell ref="F793:H793"/>
    <mergeCell ref="F794:H794"/>
    <mergeCell ref="F795:H795"/>
    <mergeCell ref="F796:H796"/>
    <mergeCell ref="P816:Q816"/>
    <mergeCell ref="F816:H816"/>
    <mergeCell ref="F817:H817"/>
    <mergeCell ref="F818:H818"/>
    <mergeCell ref="F819:H819"/>
    <mergeCell ref="F820:H820"/>
    <mergeCell ref="F821:H821"/>
    <mergeCell ref="F822:H822"/>
    <mergeCell ref="I829:J829"/>
    <mergeCell ref="K829:L829"/>
    <mergeCell ref="I830:J831"/>
    <mergeCell ref="K830:L831"/>
    <mergeCell ref="F823:H823"/>
    <mergeCell ref="F824:H824"/>
    <mergeCell ref="F825:H825"/>
    <mergeCell ref="F826:H826"/>
    <mergeCell ref="F827:H827"/>
    <mergeCell ref="F828:H828"/>
    <mergeCell ref="P817:Q817"/>
    <mergeCell ref="P818:Q818"/>
    <mergeCell ref="F772:H772"/>
    <mergeCell ref="O779:Q780"/>
    <mergeCell ref="R779:R780"/>
    <mergeCell ref="O782:Q782"/>
    <mergeCell ref="P783:Q783"/>
    <mergeCell ref="P784:Q784"/>
    <mergeCell ref="P785:Q785"/>
    <mergeCell ref="P786:Q786"/>
    <mergeCell ref="O771:R771"/>
    <mergeCell ref="Q772:R772"/>
    <mergeCell ref="O776:R776"/>
    <mergeCell ref="O777:O778"/>
    <mergeCell ref="P777:P778"/>
    <mergeCell ref="Q777:Q778"/>
    <mergeCell ref="R777:R778"/>
    <mergeCell ref="O814:Q814"/>
    <mergeCell ref="P815:Q815"/>
    <mergeCell ref="O808:R808"/>
    <mergeCell ref="O809:O810"/>
    <mergeCell ref="P809:P810"/>
    <mergeCell ref="Q809:Q810"/>
    <mergeCell ref="R809:R810"/>
    <mergeCell ref="O811:Q812"/>
    <mergeCell ref="R811:R812"/>
    <mergeCell ref="F810:H810"/>
    <mergeCell ref="F811:H811"/>
    <mergeCell ref="F812:H812"/>
    <mergeCell ref="F813:H813"/>
    <mergeCell ref="F814:H814"/>
    <mergeCell ref="F815:H815"/>
    <mergeCell ref="I797:J797"/>
    <mergeCell ref="K797:L797"/>
    <mergeCell ref="I765:J765"/>
    <mergeCell ref="K765:L765"/>
    <mergeCell ref="I766:J767"/>
    <mergeCell ref="K766:L767"/>
    <mergeCell ref="F759:H759"/>
    <mergeCell ref="F760:H760"/>
    <mergeCell ref="F761:H761"/>
    <mergeCell ref="F762:H762"/>
    <mergeCell ref="F763:H763"/>
    <mergeCell ref="F764:H764"/>
    <mergeCell ref="A765:A767"/>
    <mergeCell ref="A770:E770"/>
    <mergeCell ref="F770:H770"/>
    <mergeCell ref="I770:J770"/>
    <mergeCell ref="K770:L770"/>
    <mergeCell ref="O770:R770"/>
    <mergeCell ref="F771:H771"/>
    <mergeCell ref="F745:H745"/>
    <mergeCell ref="P753:Q753"/>
    <mergeCell ref="P754:Q754"/>
    <mergeCell ref="F746:H746"/>
    <mergeCell ref="F747:H747"/>
    <mergeCell ref="F748:H748"/>
    <mergeCell ref="F749:H749"/>
    <mergeCell ref="F750:H750"/>
    <mergeCell ref="F751:H751"/>
    <mergeCell ref="P752:Q752"/>
    <mergeCell ref="F752:H752"/>
    <mergeCell ref="F753:H753"/>
    <mergeCell ref="F754:H754"/>
    <mergeCell ref="F755:H755"/>
    <mergeCell ref="F756:H756"/>
    <mergeCell ref="F757:H757"/>
    <mergeCell ref="F758:H758"/>
    <mergeCell ref="K733:L733"/>
    <mergeCell ref="I734:J735"/>
    <mergeCell ref="K734:L735"/>
    <mergeCell ref="A733:A735"/>
    <mergeCell ref="A738:E738"/>
    <mergeCell ref="F738:H738"/>
    <mergeCell ref="I738:J738"/>
    <mergeCell ref="K738:L738"/>
    <mergeCell ref="O738:R738"/>
    <mergeCell ref="O739:R739"/>
    <mergeCell ref="Q740:R740"/>
    <mergeCell ref="F739:H739"/>
    <mergeCell ref="F740:H740"/>
    <mergeCell ref="F741:H741"/>
    <mergeCell ref="F742:H742"/>
    <mergeCell ref="F743:H743"/>
    <mergeCell ref="F744:H744"/>
    <mergeCell ref="F717:H717"/>
    <mergeCell ref="F718:H718"/>
    <mergeCell ref="F719:H719"/>
    <mergeCell ref="F720:H720"/>
    <mergeCell ref="F721:H721"/>
    <mergeCell ref="F722:H722"/>
    <mergeCell ref="F723:H723"/>
    <mergeCell ref="F724:H724"/>
    <mergeCell ref="F725:H725"/>
    <mergeCell ref="F726:H726"/>
    <mergeCell ref="F727:H727"/>
    <mergeCell ref="F728:H728"/>
    <mergeCell ref="F729:H729"/>
    <mergeCell ref="F730:H730"/>
    <mergeCell ref="F731:H731"/>
    <mergeCell ref="F732:H732"/>
    <mergeCell ref="I733:J733"/>
    <mergeCell ref="O718:Q718"/>
    <mergeCell ref="P719:Q719"/>
    <mergeCell ref="P720:Q720"/>
    <mergeCell ref="P721:Q721"/>
    <mergeCell ref="P722:Q722"/>
    <mergeCell ref="O707:R707"/>
    <mergeCell ref="Q708:R708"/>
    <mergeCell ref="O712:R712"/>
    <mergeCell ref="O713:O714"/>
    <mergeCell ref="P713:P714"/>
    <mergeCell ref="Q713:Q714"/>
    <mergeCell ref="R713:R714"/>
    <mergeCell ref="O750:Q750"/>
    <mergeCell ref="P751:Q751"/>
    <mergeCell ref="O744:R744"/>
    <mergeCell ref="O745:O746"/>
    <mergeCell ref="P745:P746"/>
    <mergeCell ref="Q745:Q746"/>
    <mergeCell ref="R745:R746"/>
    <mergeCell ref="O747:Q748"/>
    <mergeCell ref="R747:R748"/>
    <mergeCell ref="I702:J703"/>
    <mergeCell ref="K702:L703"/>
    <mergeCell ref="F695:H695"/>
    <mergeCell ref="F696:H696"/>
    <mergeCell ref="F697:H697"/>
    <mergeCell ref="F698:H698"/>
    <mergeCell ref="F699:H699"/>
    <mergeCell ref="F700:H700"/>
    <mergeCell ref="A701:A703"/>
    <mergeCell ref="A706:E706"/>
    <mergeCell ref="F706:H706"/>
    <mergeCell ref="I706:J706"/>
    <mergeCell ref="K706:L706"/>
    <mergeCell ref="O706:R706"/>
    <mergeCell ref="F707:H707"/>
    <mergeCell ref="F708:H708"/>
    <mergeCell ref="O715:Q716"/>
    <mergeCell ref="R715:R716"/>
    <mergeCell ref="F709:H709"/>
    <mergeCell ref="F710:H710"/>
    <mergeCell ref="F711:H711"/>
    <mergeCell ref="F712:H712"/>
    <mergeCell ref="F713:H713"/>
    <mergeCell ref="F714:H714"/>
    <mergeCell ref="F715:H715"/>
    <mergeCell ref="F716:H716"/>
    <mergeCell ref="P689:Q689"/>
    <mergeCell ref="P690:Q690"/>
    <mergeCell ref="F682:H682"/>
    <mergeCell ref="F683:H683"/>
    <mergeCell ref="F684:H684"/>
    <mergeCell ref="F685:H685"/>
    <mergeCell ref="F686:H686"/>
    <mergeCell ref="F687:H687"/>
    <mergeCell ref="P688:Q688"/>
    <mergeCell ref="F688:H688"/>
    <mergeCell ref="F689:H689"/>
    <mergeCell ref="F690:H690"/>
    <mergeCell ref="F691:H691"/>
    <mergeCell ref="F692:H692"/>
    <mergeCell ref="F693:H693"/>
    <mergeCell ref="F694:H694"/>
    <mergeCell ref="I701:J701"/>
    <mergeCell ref="K701:L701"/>
    <mergeCell ref="I670:J671"/>
    <mergeCell ref="K670:L671"/>
    <mergeCell ref="A669:A671"/>
    <mergeCell ref="A674:E674"/>
    <mergeCell ref="F674:H674"/>
    <mergeCell ref="I674:J674"/>
    <mergeCell ref="K674:L674"/>
    <mergeCell ref="O674:R674"/>
    <mergeCell ref="O675:R675"/>
    <mergeCell ref="Q676:R676"/>
    <mergeCell ref="F675:H675"/>
    <mergeCell ref="F676:H676"/>
    <mergeCell ref="F677:H677"/>
    <mergeCell ref="F678:H678"/>
    <mergeCell ref="F679:H679"/>
    <mergeCell ref="F680:H680"/>
    <mergeCell ref="F681:H681"/>
    <mergeCell ref="F656:H656"/>
    <mergeCell ref="P656:Q656"/>
    <mergeCell ref="F657:H657"/>
    <mergeCell ref="P657:Q657"/>
    <mergeCell ref="F658:H658"/>
    <mergeCell ref="P658:Q658"/>
    <mergeCell ref="F659:H659"/>
    <mergeCell ref="F660:H660"/>
    <mergeCell ref="F661:H661"/>
    <mergeCell ref="F662:H662"/>
    <mergeCell ref="F663:H663"/>
    <mergeCell ref="F664:H664"/>
    <mergeCell ref="F665:H665"/>
    <mergeCell ref="F666:H666"/>
    <mergeCell ref="F667:H667"/>
    <mergeCell ref="F668:H668"/>
    <mergeCell ref="I669:J669"/>
    <mergeCell ref="K669:L669"/>
    <mergeCell ref="A637:A639"/>
    <mergeCell ref="A642:E642"/>
    <mergeCell ref="F642:H642"/>
    <mergeCell ref="I642:J642"/>
    <mergeCell ref="K642:L642"/>
    <mergeCell ref="O642:R642"/>
    <mergeCell ref="F643:H643"/>
    <mergeCell ref="F644:H644"/>
    <mergeCell ref="F652:H652"/>
    <mergeCell ref="F653:H653"/>
    <mergeCell ref="F654:H654"/>
    <mergeCell ref="O654:Q654"/>
    <mergeCell ref="P655:Q655"/>
    <mergeCell ref="F645:H645"/>
    <mergeCell ref="F646:H646"/>
    <mergeCell ref="F647:H647"/>
    <mergeCell ref="F648:H648"/>
    <mergeCell ref="F649:H649"/>
    <mergeCell ref="F650:H650"/>
    <mergeCell ref="F651:H651"/>
    <mergeCell ref="F655:H655"/>
    <mergeCell ref="F613:H613"/>
    <mergeCell ref="F614:H614"/>
    <mergeCell ref="F615:H615"/>
    <mergeCell ref="F616:H616"/>
    <mergeCell ref="F617:H617"/>
    <mergeCell ref="F618:H618"/>
    <mergeCell ref="F619:H619"/>
    <mergeCell ref="F623:H623"/>
    <mergeCell ref="F624:H624"/>
    <mergeCell ref="F625:H625"/>
    <mergeCell ref="F626:H626"/>
    <mergeCell ref="F627:H627"/>
    <mergeCell ref="F628:H628"/>
    <mergeCell ref="F629:H629"/>
    <mergeCell ref="F636:H636"/>
    <mergeCell ref="I637:J637"/>
    <mergeCell ref="K637:L637"/>
    <mergeCell ref="F630:H630"/>
    <mergeCell ref="F631:H631"/>
    <mergeCell ref="F632:H632"/>
    <mergeCell ref="F633:H633"/>
    <mergeCell ref="F634:H634"/>
    <mergeCell ref="F635:H635"/>
    <mergeCell ref="O651:Q652"/>
    <mergeCell ref="R651:R652"/>
    <mergeCell ref="O643:R643"/>
    <mergeCell ref="Q644:R644"/>
    <mergeCell ref="O648:R648"/>
    <mergeCell ref="O649:O650"/>
    <mergeCell ref="P649:P650"/>
    <mergeCell ref="Q649:Q650"/>
    <mergeCell ref="R649:R650"/>
    <mergeCell ref="F620:H620"/>
    <mergeCell ref="F621:H621"/>
    <mergeCell ref="F622:H622"/>
    <mergeCell ref="O622:Q622"/>
    <mergeCell ref="P623:Q623"/>
    <mergeCell ref="P624:Q624"/>
    <mergeCell ref="P625:Q625"/>
    <mergeCell ref="P626:Q626"/>
    <mergeCell ref="I638:J639"/>
    <mergeCell ref="K638:L639"/>
    <mergeCell ref="F323:H323"/>
    <mergeCell ref="F324:H324"/>
    <mergeCell ref="F325:H325"/>
    <mergeCell ref="F326:H326"/>
    <mergeCell ref="F327:H327"/>
    <mergeCell ref="F328:H328"/>
    <mergeCell ref="F329:H329"/>
    <mergeCell ref="P337:Q337"/>
    <mergeCell ref="P338:Q338"/>
    <mergeCell ref="O462:Q462"/>
    <mergeCell ref="P463:Q463"/>
    <mergeCell ref="O456:R456"/>
    <mergeCell ref="O457:O458"/>
    <mergeCell ref="P457:P458"/>
    <mergeCell ref="Q457:Q458"/>
    <mergeCell ref="R457:R458"/>
    <mergeCell ref="O459:Q460"/>
    <mergeCell ref="R459:R460"/>
    <mergeCell ref="F310:H310"/>
    <mergeCell ref="F311:H311"/>
    <mergeCell ref="F312:H312"/>
    <mergeCell ref="F313:H313"/>
    <mergeCell ref="F314:H314"/>
    <mergeCell ref="F315:H315"/>
    <mergeCell ref="F316:H316"/>
    <mergeCell ref="I317:J317"/>
    <mergeCell ref="K317:L317"/>
    <mergeCell ref="I318:J319"/>
    <mergeCell ref="K318:L319"/>
    <mergeCell ref="A317:A319"/>
    <mergeCell ref="A322:E322"/>
    <mergeCell ref="F322:H322"/>
    <mergeCell ref="I322:J322"/>
    <mergeCell ref="K322:L322"/>
    <mergeCell ref="O322:R322"/>
    <mergeCell ref="F293:H293"/>
    <mergeCell ref="F294:H294"/>
    <mergeCell ref="F295:H295"/>
    <mergeCell ref="F296:H296"/>
    <mergeCell ref="F297:H297"/>
    <mergeCell ref="F298:H298"/>
    <mergeCell ref="F299:H299"/>
    <mergeCell ref="F300:H300"/>
    <mergeCell ref="F301:H301"/>
    <mergeCell ref="F302:H302"/>
    <mergeCell ref="F303:H303"/>
    <mergeCell ref="F304:H304"/>
    <mergeCell ref="F305:H305"/>
    <mergeCell ref="F306:H306"/>
    <mergeCell ref="F307:H307"/>
    <mergeCell ref="F308:H308"/>
    <mergeCell ref="F309:H309"/>
    <mergeCell ref="O299:Q300"/>
    <mergeCell ref="R299:R300"/>
    <mergeCell ref="O302:Q302"/>
    <mergeCell ref="P303:Q303"/>
    <mergeCell ref="P304:Q304"/>
    <mergeCell ref="P305:Q305"/>
    <mergeCell ref="P306:Q306"/>
    <mergeCell ref="O291:R291"/>
    <mergeCell ref="Q292:R292"/>
    <mergeCell ref="O296:R296"/>
    <mergeCell ref="O297:O298"/>
    <mergeCell ref="P297:P298"/>
    <mergeCell ref="Q297:Q298"/>
    <mergeCell ref="R297:R298"/>
    <mergeCell ref="O334:Q334"/>
    <mergeCell ref="P335:Q335"/>
    <mergeCell ref="O328:R328"/>
    <mergeCell ref="O329:O330"/>
    <mergeCell ref="P329:P330"/>
    <mergeCell ref="Q329:Q330"/>
    <mergeCell ref="R329:R330"/>
    <mergeCell ref="O331:Q332"/>
    <mergeCell ref="R331:R332"/>
    <mergeCell ref="O323:R323"/>
    <mergeCell ref="Q324:R324"/>
    <mergeCell ref="K285:L285"/>
    <mergeCell ref="I286:J287"/>
    <mergeCell ref="K286:L287"/>
    <mergeCell ref="F279:H279"/>
    <mergeCell ref="F280:H280"/>
    <mergeCell ref="F281:H281"/>
    <mergeCell ref="F282:H282"/>
    <mergeCell ref="F283:H283"/>
    <mergeCell ref="F284:H284"/>
    <mergeCell ref="A285:A287"/>
    <mergeCell ref="A290:E290"/>
    <mergeCell ref="F290:H290"/>
    <mergeCell ref="I290:J290"/>
    <mergeCell ref="K290:L290"/>
    <mergeCell ref="O290:R290"/>
    <mergeCell ref="F291:H291"/>
    <mergeCell ref="F292:H292"/>
    <mergeCell ref="A253:A255"/>
    <mergeCell ref="A258:E258"/>
    <mergeCell ref="F258:H258"/>
    <mergeCell ref="I258:J258"/>
    <mergeCell ref="K258:L258"/>
    <mergeCell ref="O258:R258"/>
    <mergeCell ref="O259:R259"/>
    <mergeCell ref="Q260:R260"/>
    <mergeCell ref="F259:H259"/>
    <mergeCell ref="F260:H260"/>
    <mergeCell ref="F261:H261"/>
    <mergeCell ref="F262:H262"/>
    <mergeCell ref="F263:H263"/>
    <mergeCell ref="F264:H264"/>
    <mergeCell ref="F265:H265"/>
    <mergeCell ref="P273:Q273"/>
    <mergeCell ref="P274:Q274"/>
    <mergeCell ref="F266:H266"/>
    <mergeCell ref="F267:H267"/>
    <mergeCell ref="F268:H268"/>
    <mergeCell ref="F269:H269"/>
    <mergeCell ref="F270:H270"/>
    <mergeCell ref="F271:H271"/>
    <mergeCell ref="P272:Q272"/>
    <mergeCell ref="F272:H272"/>
    <mergeCell ref="F273:H273"/>
    <mergeCell ref="F274:H274"/>
    <mergeCell ref="F227:H227"/>
    <mergeCell ref="O227:R227"/>
    <mergeCell ref="Q228:R228"/>
    <mergeCell ref="P239:Q239"/>
    <mergeCell ref="P240:Q240"/>
    <mergeCell ref="O270:Q270"/>
    <mergeCell ref="P271:Q271"/>
    <mergeCell ref="O264:R264"/>
    <mergeCell ref="O265:O266"/>
    <mergeCell ref="P265:P266"/>
    <mergeCell ref="Q265:Q266"/>
    <mergeCell ref="R265:R266"/>
    <mergeCell ref="O267:Q268"/>
    <mergeCell ref="R267:R268"/>
    <mergeCell ref="F234:H234"/>
    <mergeCell ref="F235:H235"/>
    <mergeCell ref="O235:Q236"/>
    <mergeCell ref="R235:R236"/>
    <mergeCell ref="F236:H236"/>
    <mergeCell ref="F237:H237"/>
    <mergeCell ref="O238:Q238"/>
    <mergeCell ref="F238:H238"/>
    <mergeCell ref="F239:H239"/>
    <mergeCell ref="F240:H240"/>
    <mergeCell ref="F241:H241"/>
    <mergeCell ref="P241:Q241"/>
    <mergeCell ref="F242:H242"/>
    <mergeCell ref="P242:Q242"/>
    <mergeCell ref="F243:H243"/>
    <mergeCell ref="F244:H244"/>
    <mergeCell ref="F245:H245"/>
    <mergeCell ref="F246:H246"/>
    <mergeCell ref="F211:H211"/>
    <mergeCell ref="F212:H212"/>
    <mergeCell ref="F213:H213"/>
    <mergeCell ref="F214:H214"/>
    <mergeCell ref="F215:H215"/>
    <mergeCell ref="F216:H216"/>
    <mergeCell ref="F217:H217"/>
    <mergeCell ref="F218:H218"/>
    <mergeCell ref="F219:H219"/>
    <mergeCell ref="F220:H220"/>
    <mergeCell ref="A221:A223"/>
    <mergeCell ref="I221:J221"/>
    <mergeCell ref="K221:L221"/>
    <mergeCell ref="I222:J223"/>
    <mergeCell ref="K222:L223"/>
    <mergeCell ref="A226:E226"/>
    <mergeCell ref="F226:H226"/>
    <mergeCell ref="I226:J226"/>
    <mergeCell ref="K226:L226"/>
    <mergeCell ref="A418:E418"/>
    <mergeCell ref="F418:H418"/>
    <mergeCell ref="I418:J418"/>
    <mergeCell ref="K418:L418"/>
    <mergeCell ref="O418:R418"/>
    <mergeCell ref="F419:H419"/>
    <mergeCell ref="F420:H420"/>
    <mergeCell ref="F428:H428"/>
    <mergeCell ref="F429:H429"/>
    <mergeCell ref="F430:H430"/>
    <mergeCell ref="O430:Q430"/>
    <mergeCell ref="P431:Q431"/>
    <mergeCell ref="A194:E194"/>
    <mergeCell ref="F194:H194"/>
    <mergeCell ref="I194:J194"/>
    <mergeCell ref="K194:L194"/>
    <mergeCell ref="F195:H195"/>
    <mergeCell ref="F196:H196"/>
    <mergeCell ref="F197:H197"/>
    <mergeCell ref="F198:H198"/>
    <mergeCell ref="F199:H199"/>
    <mergeCell ref="F200:H200"/>
    <mergeCell ref="F201:H201"/>
    <mergeCell ref="F202:H202"/>
    <mergeCell ref="F203:H203"/>
    <mergeCell ref="F204:H204"/>
    <mergeCell ref="F205:H205"/>
    <mergeCell ref="F206:H206"/>
    <mergeCell ref="F207:H207"/>
    <mergeCell ref="F208:H208"/>
    <mergeCell ref="F209:H209"/>
    <mergeCell ref="F210:H210"/>
    <mergeCell ref="F401:H401"/>
    <mergeCell ref="P401:Q401"/>
    <mergeCell ref="P402:Q402"/>
    <mergeCell ref="F402:H402"/>
    <mergeCell ref="F403:H403"/>
    <mergeCell ref="F404:H404"/>
    <mergeCell ref="F405:H405"/>
    <mergeCell ref="F406:H406"/>
    <mergeCell ref="F407:H407"/>
    <mergeCell ref="F408:H408"/>
    <mergeCell ref="I414:J415"/>
    <mergeCell ref="K414:L415"/>
    <mergeCell ref="F409:H409"/>
    <mergeCell ref="F410:H410"/>
    <mergeCell ref="F411:H411"/>
    <mergeCell ref="F412:H412"/>
    <mergeCell ref="A413:A415"/>
    <mergeCell ref="I413:J413"/>
    <mergeCell ref="K413:L413"/>
    <mergeCell ref="F394:H394"/>
    <mergeCell ref="F395:H395"/>
    <mergeCell ref="F396:H396"/>
    <mergeCell ref="F397:H397"/>
    <mergeCell ref="F398:H398"/>
    <mergeCell ref="F399:H399"/>
    <mergeCell ref="F387:H387"/>
    <mergeCell ref="F388:H388"/>
    <mergeCell ref="F389:H389"/>
    <mergeCell ref="F390:H390"/>
    <mergeCell ref="F391:H391"/>
    <mergeCell ref="F392:H392"/>
    <mergeCell ref="F393:H393"/>
    <mergeCell ref="O427:Q428"/>
    <mergeCell ref="R427:R428"/>
    <mergeCell ref="O419:R419"/>
    <mergeCell ref="Q420:R420"/>
    <mergeCell ref="O424:R424"/>
    <mergeCell ref="O425:O426"/>
    <mergeCell ref="P425:P426"/>
    <mergeCell ref="Q425:Q426"/>
    <mergeCell ref="R425:R426"/>
    <mergeCell ref="O392:R392"/>
    <mergeCell ref="O393:O394"/>
    <mergeCell ref="P393:P394"/>
    <mergeCell ref="Q393:Q394"/>
    <mergeCell ref="R393:R394"/>
    <mergeCell ref="O395:Q396"/>
    <mergeCell ref="R395:R396"/>
    <mergeCell ref="O398:Q398"/>
    <mergeCell ref="P399:Q399"/>
    <mergeCell ref="F400:H400"/>
    <mergeCell ref="F371:H371"/>
    <mergeCell ref="F372:H372"/>
    <mergeCell ref="F373:H373"/>
    <mergeCell ref="F374:H374"/>
    <mergeCell ref="F375:H375"/>
    <mergeCell ref="F376:H376"/>
    <mergeCell ref="F377:H377"/>
    <mergeCell ref="F378:H378"/>
    <mergeCell ref="F379:H379"/>
    <mergeCell ref="F380:H380"/>
    <mergeCell ref="I381:J381"/>
    <mergeCell ref="K381:L381"/>
    <mergeCell ref="I382:J383"/>
    <mergeCell ref="K382:L383"/>
    <mergeCell ref="A381:A383"/>
    <mergeCell ref="A386:E386"/>
    <mergeCell ref="F386:H386"/>
    <mergeCell ref="I386:J386"/>
    <mergeCell ref="K386:L386"/>
    <mergeCell ref="F355:H355"/>
    <mergeCell ref="F356:H356"/>
    <mergeCell ref="O363:Q364"/>
    <mergeCell ref="R363:R364"/>
    <mergeCell ref="O366:Q366"/>
    <mergeCell ref="P367:Q367"/>
    <mergeCell ref="P368:Q368"/>
    <mergeCell ref="P369:Q369"/>
    <mergeCell ref="P370:Q370"/>
    <mergeCell ref="O355:R355"/>
    <mergeCell ref="Q356:R356"/>
    <mergeCell ref="O360:R360"/>
    <mergeCell ref="O361:O362"/>
    <mergeCell ref="P361:P362"/>
    <mergeCell ref="Q361:Q362"/>
    <mergeCell ref="R361:R362"/>
    <mergeCell ref="F357:H357"/>
    <mergeCell ref="F358:H358"/>
    <mergeCell ref="F359:H359"/>
    <mergeCell ref="F360:H360"/>
    <mergeCell ref="F361:H361"/>
    <mergeCell ref="F362:H362"/>
    <mergeCell ref="F363:H363"/>
    <mergeCell ref="F364:H364"/>
    <mergeCell ref="F365:H365"/>
    <mergeCell ref="F366:H366"/>
    <mergeCell ref="F367:H367"/>
    <mergeCell ref="F368:H368"/>
    <mergeCell ref="F369:H369"/>
    <mergeCell ref="F370:H370"/>
    <mergeCell ref="F339:H339"/>
    <mergeCell ref="F340:H340"/>
    <mergeCell ref="F341:H341"/>
    <mergeCell ref="F342:H342"/>
    <mergeCell ref="I349:J349"/>
    <mergeCell ref="K349:L349"/>
    <mergeCell ref="I350:J351"/>
    <mergeCell ref="K350:L351"/>
    <mergeCell ref="F343:H343"/>
    <mergeCell ref="F344:H344"/>
    <mergeCell ref="F345:H345"/>
    <mergeCell ref="F346:H346"/>
    <mergeCell ref="F347:H347"/>
    <mergeCell ref="F348:H348"/>
    <mergeCell ref="A349:A351"/>
    <mergeCell ref="A354:E354"/>
    <mergeCell ref="F354:H354"/>
    <mergeCell ref="I354:J354"/>
    <mergeCell ref="K354:L354"/>
    <mergeCell ref="F228:H228"/>
    <mergeCell ref="F229:H229"/>
    <mergeCell ref="F230:H230"/>
    <mergeCell ref="F231:H231"/>
    <mergeCell ref="F232:H232"/>
    <mergeCell ref="O232:R232"/>
    <mergeCell ref="F233:H233"/>
    <mergeCell ref="F330:H330"/>
    <mergeCell ref="F331:H331"/>
    <mergeCell ref="F332:H332"/>
    <mergeCell ref="F333:H333"/>
    <mergeCell ref="F334:H334"/>
    <mergeCell ref="F335:H335"/>
    <mergeCell ref="P336:Q336"/>
    <mergeCell ref="F336:H336"/>
    <mergeCell ref="F337:H337"/>
    <mergeCell ref="F338:H338"/>
    <mergeCell ref="F247:H247"/>
    <mergeCell ref="F248:H248"/>
    <mergeCell ref="F249:H249"/>
    <mergeCell ref="F250:H250"/>
    <mergeCell ref="F251:H251"/>
    <mergeCell ref="F252:H252"/>
    <mergeCell ref="I253:J253"/>
    <mergeCell ref="K253:L253"/>
    <mergeCell ref="I254:J255"/>
    <mergeCell ref="K254:L255"/>
    <mergeCell ref="F275:H275"/>
    <mergeCell ref="F276:H276"/>
    <mergeCell ref="F277:H277"/>
    <mergeCell ref="F278:H278"/>
    <mergeCell ref="I285:J285"/>
    <mergeCell ref="F176:H176"/>
    <mergeCell ref="F177:H177"/>
    <mergeCell ref="F178:H178"/>
    <mergeCell ref="F179:H179"/>
    <mergeCell ref="F180:H180"/>
    <mergeCell ref="F181:H181"/>
    <mergeCell ref="F182:H182"/>
    <mergeCell ref="F183:H183"/>
    <mergeCell ref="F184:H184"/>
    <mergeCell ref="F185:H185"/>
    <mergeCell ref="F186:H186"/>
    <mergeCell ref="F187:H187"/>
    <mergeCell ref="F188:H188"/>
    <mergeCell ref="A189:A191"/>
    <mergeCell ref="I189:J189"/>
    <mergeCell ref="K189:L189"/>
    <mergeCell ref="I190:J191"/>
    <mergeCell ref="K190:L191"/>
    <mergeCell ref="A162:E162"/>
    <mergeCell ref="F162:H162"/>
    <mergeCell ref="I162:J162"/>
    <mergeCell ref="K162:L162"/>
    <mergeCell ref="F163:H163"/>
    <mergeCell ref="F164:H164"/>
    <mergeCell ref="F165:H165"/>
    <mergeCell ref="F166:H166"/>
    <mergeCell ref="F167:H167"/>
    <mergeCell ref="F168:H168"/>
    <mergeCell ref="F169:H169"/>
    <mergeCell ref="F170:H170"/>
    <mergeCell ref="F171:H171"/>
    <mergeCell ref="F172:H172"/>
    <mergeCell ref="F173:H173"/>
    <mergeCell ref="F174:H174"/>
    <mergeCell ref="F175:H175"/>
    <mergeCell ref="F144:H144"/>
    <mergeCell ref="F145:H145"/>
    <mergeCell ref="F146:H146"/>
    <mergeCell ref="F147:H147"/>
    <mergeCell ref="F148:H148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A157:A159"/>
    <mergeCell ref="I157:J157"/>
    <mergeCell ref="K157:L157"/>
    <mergeCell ref="I158:J159"/>
    <mergeCell ref="K158:L159"/>
    <mergeCell ref="A130:E130"/>
    <mergeCell ref="F130:H130"/>
    <mergeCell ref="I130:J130"/>
    <mergeCell ref="K130:L130"/>
    <mergeCell ref="F131:H131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1:H141"/>
    <mergeCell ref="F142:H142"/>
    <mergeCell ref="F143:H143"/>
    <mergeCell ref="F113:H113"/>
    <mergeCell ref="F114:H114"/>
    <mergeCell ref="F115:H115"/>
    <mergeCell ref="F116:H116"/>
    <mergeCell ref="F117:H117"/>
    <mergeCell ref="F124:H124"/>
    <mergeCell ref="I125:J125"/>
    <mergeCell ref="K125:L125"/>
    <mergeCell ref="I126:J127"/>
    <mergeCell ref="K126:L127"/>
    <mergeCell ref="F118:H118"/>
    <mergeCell ref="F119:H119"/>
    <mergeCell ref="F120:H120"/>
    <mergeCell ref="F121:H121"/>
    <mergeCell ref="F122:H122"/>
    <mergeCell ref="F123:H123"/>
    <mergeCell ref="A125:A127"/>
    <mergeCell ref="O98:R98"/>
    <mergeCell ref="F99:H99"/>
    <mergeCell ref="F100:H100"/>
    <mergeCell ref="F108:H108"/>
    <mergeCell ref="F109:H109"/>
    <mergeCell ref="F110:H110"/>
    <mergeCell ref="O110:Q110"/>
    <mergeCell ref="P111:Q111"/>
    <mergeCell ref="F101:H101"/>
    <mergeCell ref="F102:H102"/>
    <mergeCell ref="F103:H103"/>
    <mergeCell ref="F104:H104"/>
    <mergeCell ref="F105:H105"/>
    <mergeCell ref="F106:H106"/>
    <mergeCell ref="F107:H107"/>
    <mergeCell ref="F111:H111"/>
    <mergeCell ref="F112:H112"/>
    <mergeCell ref="F83:H83"/>
    <mergeCell ref="F84:H84"/>
    <mergeCell ref="F85:H85"/>
    <mergeCell ref="F86:H86"/>
    <mergeCell ref="F87:H87"/>
    <mergeCell ref="F88:H88"/>
    <mergeCell ref="I94:J95"/>
    <mergeCell ref="K94:L95"/>
    <mergeCell ref="F89:H89"/>
    <mergeCell ref="F90:H90"/>
    <mergeCell ref="F91:H91"/>
    <mergeCell ref="F92:H92"/>
    <mergeCell ref="A93:A95"/>
    <mergeCell ref="I93:J93"/>
    <mergeCell ref="K93:L93"/>
    <mergeCell ref="A98:E98"/>
    <mergeCell ref="F98:H98"/>
    <mergeCell ref="I98:J98"/>
    <mergeCell ref="K98:L98"/>
    <mergeCell ref="O75:Q76"/>
    <mergeCell ref="O78:Q78"/>
    <mergeCell ref="P79:Q79"/>
    <mergeCell ref="P80:Q80"/>
    <mergeCell ref="P81:Q81"/>
    <mergeCell ref="P82:Q82"/>
    <mergeCell ref="O72:R72"/>
    <mergeCell ref="O73:O74"/>
    <mergeCell ref="P73:P74"/>
    <mergeCell ref="Q73:Q74"/>
    <mergeCell ref="R73:R74"/>
    <mergeCell ref="R75:R76"/>
    <mergeCell ref="F76:H7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7:H77"/>
    <mergeCell ref="F78:H78"/>
    <mergeCell ref="F79:H79"/>
    <mergeCell ref="F80:H80"/>
    <mergeCell ref="F81:H81"/>
    <mergeCell ref="F82:H82"/>
    <mergeCell ref="F56:H56"/>
    <mergeCell ref="F57:H57"/>
    <mergeCell ref="F58:H58"/>
    <mergeCell ref="F59:H59"/>
    <mergeCell ref="F60:H60"/>
    <mergeCell ref="I61:J61"/>
    <mergeCell ref="K61:L61"/>
    <mergeCell ref="I62:J63"/>
    <mergeCell ref="K62:L63"/>
    <mergeCell ref="A61:A63"/>
    <mergeCell ref="A66:E66"/>
    <mergeCell ref="F66:H66"/>
    <mergeCell ref="I66:J66"/>
    <mergeCell ref="K66:L66"/>
    <mergeCell ref="O66:R66"/>
    <mergeCell ref="O67:R67"/>
    <mergeCell ref="Q68:R68"/>
    <mergeCell ref="F19:H19"/>
    <mergeCell ref="F20:H20"/>
    <mergeCell ref="F21:H21"/>
    <mergeCell ref="F22:H22"/>
    <mergeCell ref="I29:J29"/>
    <mergeCell ref="K29:L29"/>
    <mergeCell ref="I30:J31"/>
    <mergeCell ref="K30:L31"/>
    <mergeCell ref="O34:R34"/>
    <mergeCell ref="O35:R35"/>
    <mergeCell ref="Q36:R36"/>
    <mergeCell ref="O43:Q44"/>
    <mergeCell ref="R43:R44"/>
    <mergeCell ref="O46:Q46"/>
    <mergeCell ref="P47:Q47"/>
    <mergeCell ref="P48:Q48"/>
    <mergeCell ref="P49:Q49"/>
    <mergeCell ref="O40:R40"/>
    <mergeCell ref="O41:O42"/>
    <mergeCell ref="P41:P42"/>
    <mergeCell ref="Q41:Q42"/>
    <mergeCell ref="R41:R42"/>
    <mergeCell ref="F42:H42"/>
    <mergeCell ref="F43:H43"/>
    <mergeCell ref="F44:H44"/>
    <mergeCell ref="F45:H45"/>
    <mergeCell ref="F46:H46"/>
    <mergeCell ref="F47:H47"/>
    <mergeCell ref="F48:H48"/>
    <mergeCell ref="F49:H49"/>
    <mergeCell ref="P15:Q15"/>
    <mergeCell ref="P16:Q16"/>
    <mergeCell ref="P17:Q17"/>
    <mergeCell ref="P18:Q18"/>
    <mergeCell ref="O3:R3"/>
    <mergeCell ref="Q4:R4"/>
    <mergeCell ref="O8:R8"/>
    <mergeCell ref="O9:O10"/>
    <mergeCell ref="P9:P10"/>
    <mergeCell ref="Q9:Q10"/>
    <mergeCell ref="R9:R10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A1:E1"/>
    <mergeCell ref="G1:J1"/>
    <mergeCell ref="K1:L1"/>
    <mergeCell ref="A2:E2"/>
    <mergeCell ref="I2:J2"/>
    <mergeCell ref="K2:L2"/>
    <mergeCell ref="O2:R2"/>
    <mergeCell ref="F2:H2"/>
    <mergeCell ref="F3:H3"/>
    <mergeCell ref="F4:H4"/>
    <mergeCell ref="F5:H5"/>
    <mergeCell ref="F6:H6"/>
    <mergeCell ref="F7:H7"/>
    <mergeCell ref="F8:H8"/>
    <mergeCell ref="O11:Q12"/>
    <mergeCell ref="R11:R12"/>
    <mergeCell ref="O14:Q14"/>
    <mergeCell ref="O174:Q174"/>
    <mergeCell ref="P175:Q175"/>
    <mergeCell ref="P176:Q176"/>
    <mergeCell ref="P177:Q177"/>
    <mergeCell ref="P178:Q178"/>
    <mergeCell ref="P210:Q210"/>
    <mergeCell ref="O226:R226"/>
    <mergeCell ref="F23:H23"/>
    <mergeCell ref="F24:H24"/>
    <mergeCell ref="F25:H25"/>
    <mergeCell ref="F26:H26"/>
    <mergeCell ref="F27:H27"/>
    <mergeCell ref="F28:H28"/>
    <mergeCell ref="A29:A31"/>
    <mergeCell ref="F38:H38"/>
    <mergeCell ref="F39:H39"/>
    <mergeCell ref="F40:H40"/>
    <mergeCell ref="F41:H41"/>
    <mergeCell ref="A34:E34"/>
    <mergeCell ref="F34:H34"/>
    <mergeCell ref="I34:J34"/>
    <mergeCell ref="K34:L34"/>
    <mergeCell ref="F35:H35"/>
    <mergeCell ref="F36:H36"/>
    <mergeCell ref="F37:H37"/>
    <mergeCell ref="P50:Q50"/>
    <mergeCell ref="F50:H50"/>
    <mergeCell ref="F51:H51"/>
    <mergeCell ref="F52:H52"/>
    <mergeCell ref="F53:H53"/>
    <mergeCell ref="F54:H54"/>
    <mergeCell ref="F55:H55"/>
    <mergeCell ref="R139:R140"/>
    <mergeCell ref="O139:Q140"/>
    <mergeCell ref="O142:Q142"/>
    <mergeCell ref="P143:Q143"/>
    <mergeCell ref="P144:Q144"/>
    <mergeCell ref="P145:Q145"/>
    <mergeCell ref="P146:Q146"/>
    <mergeCell ref="O162:R162"/>
    <mergeCell ref="O163:R163"/>
    <mergeCell ref="Q164:R164"/>
    <mergeCell ref="O168:R168"/>
    <mergeCell ref="O169:O170"/>
    <mergeCell ref="P169:P170"/>
    <mergeCell ref="Q169:Q170"/>
    <mergeCell ref="R169:R170"/>
    <mergeCell ref="O171:Q172"/>
    <mergeCell ref="R171:R172"/>
    <mergeCell ref="O99:R99"/>
    <mergeCell ref="Q100:R100"/>
    <mergeCell ref="O104:R104"/>
    <mergeCell ref="O105:O106"/>
    <mergeCell ref="P105:P106"/>
    <mergeCell ref="Q105:Q106"/>
    <mergeCell ref="R105:R106"/>
    <mergeCell ref="O107:Q108"/>
    <mergeCell ref="R107:R108"/>
    <mergeCell ref="P112:Q112"/>
    <mergeCell ref="P113:Q113"/>
    <mergeCell ref="P114:Q114"/>
    <mergeCell ref="O130:R130"/>
    <mergeCell ref="O131:R131"/>
    <mergeCell ref="Q132:R132"/>
    <mergeCell ref="O136:R136"/>
    <mergeCell ref="O137:O138"/>
    <mergeCell ref="P137:P138"/>
    <mergeCell ref="Q137:Q138"/>
    <mergeCell ref="R137:R138"/>
    <mergeCell ref="O686:Q686"/>
    <mergeCell ref="P687:Q687"/>
    <mergeCell ref="O680:R680"/>
    <mergeCell ref="O681:O682"/>
    <mergeCell ref="P681:P682"/>
    <mergeCell ref="Q681:Q682"/>
    <mergeCell ref="R681:R682"/>
    <mergeCell ref="O683:Q684"/>
    <mergeCell ref="R683:R684"/>
    <mergeCell ref="O194:R194"/>
    <mergeCell ref="O195:R195"/>
    <mergeCell ref="Q196:R196"/>
    <mergeCell ref="O200:R200"/>
    <mergeCell ref="O201:O202"/>
    <mergeCell ref="P201:P202"/>
    <mergeCell ref="R201:R202"/>
    <mergeCell ref="Q201:Q202"/>
    <mergeCell ref="O203:Q204"/>
    <mergeCell ref="R203:R204"/>
    <mergeCell ref="O206:Q206"/>
    <mergeCell ref="P207:Q207"/>
    <mergeCell ref="P208:Q208"/>
    <mergeCell ref="P209:Q209"/>
    <mergeCell ref="O233:O234"/>
    <mergeCell ref="P233:P234"/>
    <mergeCell ref="Q233:Q234"/>
    <mergeCell ref="R233:R234"/>
    <mergeCell ref="O354:R354"/>
    <mergeCell ref="O386:R386"/>
    <mergeCell ref="O387:R387"/>
    <mergeCell ref="Q388:R388"/>
    <mergeCell ref="P400:Q400"/>
    <mergeCell ref="O546:R546"/>
    <mergeCell ref="F547:H547"/>
    <mergeCell ref="F548:H548"/>
    <mergeCell ref="O555:Q556"/>
    <mergeCell ref="R555:R556"/>
    <mergeCell ref="O558:Q558"/>
    <mergeCell ref="P559:Q559"/>
    <mergeCell ref="P560:Q560"/>
    <mergeCell ref="P561:Q561"/>
    <mergeCell ref="P562:Q562"/>
    <mergeCell ref="O547:R547"/>
    <mergeCell ref="Q548:R548"/>
    <mergeCell ref="O552:R552"/>
    <mergeCell ref="O553:O554"/>
    <mergeCell ref="P553:P554"/>
    <mergeCell ref="Q553:Q554"/>
    <mergeCell ref="R553:R554"/>
    <mergeCell ref="F533:H533"/>
    <mergeCell ref="F534:H534"/>
    <mergeCell ref="I541:J541"/>
    <mergeCell ref="K541:L541"/>
    <mergeCell ref="I542:J543"/>
    <mergeCell ref="K542:L543"/>
    <mergeCell ref="F535:H535"/>
    <mergeCell ref="F536:H536"/>
    <mergeCell ref="F537:H537"/>
    <mergeCell ref="F538:H538"/>
    <mergeCell ref="F539:H539"/>
    <mergeCell ref="F540:H540"/>
    <mergeCell ref="A541:A543"/>
    <mergeCell ref="A546:E546"/>
    <mergeCell ref="F546:H546"/>
    <mergeCell ref="I546:J546"/>
    <mergeCell ref="K546:L546"/>
    <mergeCell ref="F519:H519"/>
    <mergeCell ref="F520:H520"/>
    <mergeCell ref="F521:H521"/>
    <mergeCell ref="P529:Q529"/>
    <mergeCell ref="P530:Q530"/>
    <mergeCell ref="F522:H522"/>
    <mergeCell ref="F523:H523"/>
    <mergeCell ref="F524:H524"/>
    <mergeCell ref="F525:H525"/>
    <mergeCell ref="F526:H526"/>
    <mergeCell ref="F527:H527"/>
    <mergeCell ref="P528:Q528"/>
    <mergeCell ref="F528:H528"/>
    <mergeCell ref="F529:H529"/>
    <mergeCell ref="F530:H530"/>
    <mergeCell ref="F531:H531"/>
    <mergeCell ref="F532:H532"/>
    <mergeCell ref="F508:H508"/>
    <mergeCell ref="I509:J509"/>
    <mergeCell ref="K509:L509"/>
    <mergeCell ref="I510:J511"/>
    <mergeCell ref="K510:L511"/>
    <mergeCell ref="A509:A511"/>
    <mergeCell ref="A514:E514"/>
    <mergeCell ref="F514:H514"/>
    <mergeCell ref="I514:J514"/>
    <mergeCell ref="K514:L514"/>
    <mergeCell ref="O514:R514"/>
    <mergeCell ref="O515:R515"/>
    <mergeCell ref="Q516:R516"/>
    <mergeCell ref="F515:H515"/>
    <mergeCell ref="F516:H516"/>
    <mergeCell ref="F517:H517"/>
    <mergeCell ref="F518:H518"/>
    <mergeCell ref="O526:Q526"/>
    <mergeCell ref="P527:Q527"/>
    <mergeCell ref="O520:R520"/>
    <mergeCell ref="O521:O522"/>
    <mergeCell ref="P521:P522"/>
    <mergeCell ref="Q521:Q522"/>
    <mergeCell ref="R521:R522"/>
    <mergeCell ref="O523:Q524"/>
    <mergeCell ref="R523:R524"/>
    <mergeCell ref="F485:H485"/>
    <mergeCell ref="F486:H486"/>
    <mergeCell ref="F487:H487"/>
    <mergeCell ref="F488:H488"/>
    <mergeCell ref="F489:H489"/>
    <mergeCell ref="F490:H490"/>
    <mergeCell ref="F491:H491"/>
    <mergeCell ref="F492:H492"/>
    <mergeCell ref="F493:H493"/>
    <mergeCell ref="F494:H494"/>
    <mergeCell ref="F495:H495"/>
    <mergeCell ref="F496:H496"/>
    <mergeCell ref="F497:H497"/>
    <mergeCell ref="F498:H498"/>
    <mergeCell ref="F499:H499"/>
    <mergeCell ref="F500:H500"/>
    <mergeCell ref="F501:H501"/>
    <mergeCell ref="F502:H502"/>
    <mergeCell ref="F503:H503"/>
    <mergeCell ref="F504:H504"/>
    <mergeCell ref="F505:H505"/>
    <mergeCell ref="F506:H506"/>
    <mergeCell ref="F507:H507"/>
    <mergeCell ref="O482:R482"/>
    <mergeCell ref="F483:H483"/>
    <mergeCell ref="F484:H484"/>
    <mergeCell ref="O491:Q492"/>
    <mergeCell ref="R491:R492"/>
    <mergeCell ref="O494:Q494"/>
    <mergeCell ref="P495:Q495"/>
    <mergeCell ref="P496:Q496"/>
    <mergeCell ref="P497:Q497"/>
    <mergeCell ref="P498:Q498"/>
    <mergeCell ref="O483:R483"/>
    <mergeCell ref="Q484:R484"/>
    <mergeCell ref="O488:R488"/>
    <mergeCell ref="O489:O490"/>
    <mergeCell ref="P489:P490"/>
    <mergeCell ref="Q489:Q490"/>
    <mergeCell ref="R489:R490"/>
    <mergeCell ref="F467:H467"/>
    <mergeCell ref="F468:H468"/>
    <mergeCell ref="F469:H469"/>
    <mergeCell ref="F470:H470"/>
    <mergeCell ref="I477:J477"/>
    <mergeCell ref="K477:L477"/>
    <mergeCell ref="I478:J479"/>
    <mergeCell ref="K478:L479"/>
    <mergeCell ref="F471:H471"/>
    <mergeCell ref="F472:H472"/>
    <mergeCell ref="F473:H473"/>
    <mergeCell ref="F474:H474"/>
    <mergeCell ref="F475:H475"/>
    <mergeCell ref="F476:H476"/>
    <mergeCell ref="A477:A479"/>
    <mergeCell ref="A482:E482"/>
    <mergeCell ref="F482:H482"/>
    <mergeCell ref="I482:J482"/>
    <mergeCell ref="K482:L482"/>
    <mergeCell ref="F453:H453"/>
    <mergeCell ref="F454:H454"/>
    <mergeCell ref="F455:H455"/>
    <mergeCell ref="F456:H456"/>
    <mergeCell ref="F457:H457"/>
    <mergeCell ref="P465:Q465"/>
    <mergeCell ref="P466:Q466"/>
    <mergeCell ref="F458:H458"/>
    <mergeCell ref="F459:H459"/>
    <mergeCell ref="F460:H460"/>
    <mergeCell ref="F461:H461"/>
    <mergeCell ref="F462:H462"/>
    <mergeCell ref="F463:H463"/>
    <mergeCell ref="P464:Q464"/>
    <mergeCell ref="F464:H464"/>
    <mergeCell ref="F465:H465"/>
    <mergeCell ref="F466:H466"/>
    <mergeCell ref="F441:H441"/>
    <mergeCell ref="F442:H442"/>
    <mergeCell ref="F443:H443"/>
    <mergeCell ref="F444:H444"/>
    <mergeCell ref="I445:J445"/>
    <mergeCell ref="K445:L445"/>
    <mergeCell ref="I446:J447"/>
    <mergeCell ref="K446:L447"/>
    <mergeCell ref="A445:A447"/>
    <mergeCell ref="A450:E450"/>
    <mergeCell ref="F450:H450"/>
    <mergeCell ref="I450:J450"/>
    <mergeCell ref="K450:L450"/>
    <mergeCell ref="O450:R450"/>
    <mergeCell ref="O451:R451"/>
    <mergeCell ref="Q452:R452"/>
    <mergeCell ref="F451:H451"/>
    <mergeCell ref="F452:H452"/>
    <mergeCell ref="O610:R610"/>
    <mergeCell ref="F611:H611"/>
    <mergeCell ref="F612:H612"/>
    <mergeCell ref="O619:Q620"/>
    <mergeCell ref="R619:R620"/>
    <mergeCell ref="O611:R611"/>
    <mergeCell ref="Q612:R612"/>
    <mergeCell ref="O616:R616"/>
    <mergeCell ref="O617:O618"/>
    <mergeCell ref="P617:P618"/>
    <mergeCell ref="Q617:Q618"/>
    <mergeCell ref="R617:R618"/>
    <mergeCell ref="F421:H421"/>
    <mergeCell ref="F422:H422"/>
    <mergeCell ref="F423:H423"/>
    <mergeCell ref="F424:H424"/>
    <mergeCell ref="F425:H425"/>
    <mergeCell ref="F426:H426"/>
    <mergeCell ref="F427:H427"/>
    <mergeCell ref="F431:H431"/>
    <mergeCell ref="F432:H432"/>
    <mergeCell ref="P432:Q432"/>
    <mergeCell ref="F433:H433"/>
    <mergeCell ref="P433:Q433"/>
    <mergeCell ref="F434:H434"/>
    <mergeCell ref="P434:Q434"/>
    <mergeCell ref="F435:H435"/>
    <mergeCell ref="F436:H436"/>
    <mergeCell ref="F437:H437"/>
    <mergeCell ref="F438:H438"/>
    <mergeCell ref="F439:H439"/>
    <mergeCell ref="F440:H440"/>
    <mergeCell ref="F595:H595"/>
    <mergeCell ref="F596:H596"/>
    <mergeCell ref="F597:H597"/>
    <mergeCell ref="F598:H598"/>
    <mergeCell ref="I605:J605"/>
    <mergeCell ref="K605:L605"/>
    <mergeCell ref="I606:J607"/>
    <mergeCell ref="K606:L607"/>
    <mergeCell ref="F599:H599"/>
    <mergeCell ref="F600:H600"/>
    <mergeCell ref="F601:H601"/>
    <mergeCell ref="F602:H602"/>
    <mergeCell ref="F603:H603"/>
    <mergeCell ref="F604:H604"/>
    <mergeCell ref="A605:A607"/>
    <mergeCell ref="A610:E610"/>
    <mergeCell ref="F610:H610"/>
    <mergeCell ref="I610:J610"/>
    <mergeCell ref="K610:L610"/>
    <mergeCell ref="O579:R579"/>
    <mergeCell ref="Q580:R580"/>
    <mergeCell ref="F579:H579"/>
    <mergeCell ref="F580:H580"/>
    <mergeCell ref="F581:H581"/>
    <mergeCell ref="F582:H582"/>
    <mergeCell ref="F583:H583"/>
    <mergeCell ref="F584:H584"/>
    <mergeCell ref="F585:H585"/>
    <mergeCell ref="P593:Q593"/>
    <mergeCell ref="P594:Q594"/>
    <mergeCell ref="F586:H586"/>
    <mergeCell ref="F587:H587"/>
    <mergeCell ref="F588:H588"/>
    <mergeCell ref="F589:H589"/>
    <mergeCell ref="F590:H590"/>
    <mergeCell ref="F591:H591"/>
    <mergeCell ref="P592:Q592"/>
    <mergeCell ref="F592:H592"/>
    <mergeCell ref="F593:H593"/>
    <mergeCell ref="F594:H594"/>
    <mergeCell ref="O590:Q590"/>
    <mergeCell ref="P591:Q591"/>
    <mergeCell ref="O584:R584"/>
    <mergeCell ref="O585:O586"/>
    <mergeCell ref="P585:P586"/>
    <mergeCell ref="Q585:Q586"/>
    <mergeCell ref="R585:R586"/>
    <mergeCell ref="O587:Q588"/>
    <mergeCell ref="R587:R588"/>
    <mergeCell ref="F566:H566"/>
    <mergeCell ref="F567:H567"/>
    <mergeCell ref="F568:H568"/>
    <mergeCell ref="F569:H569"/>
    <mergeCell ref="F570:H570"/>
    <mergeCell ref="F571:H571"/>
    <mergeCell ref="F572:H572"/>
    <mergeCell ref="I573:J573"/>
    <mergeCell ref="K573:L573"/>
    <mergeCell ref="I574:J575"/>
    <mergeCell ref="K574:L575"/>
    <mergeCell ref="A573:A575"/>
    <mergeCell ref="A578:E578"/>
    <mergeCell ref="F578:H578"/>
    <mergeCell ref="I578:J578"/>
    <mergeCell ref="K578:L578"/>
    <mergeCell ref="O578:R578"/>
    <mergeCell ref="F549:H549"/>
    <mergeCell ref="F550:H550"/>
    <mergeCell ref="F551:H551"/>
    <mergeCell ref="F552:H552"/>
    <mergeCell ref="F553:H553"/>
    <mergeCell ref="F554:H554"/>
    <mergeCell ref="F555:H555"/>
    <mergeCell ref="F556:H556"/>
    <mergeCell ref="F557:H557"/>
    <mergeCell ref="F558:H558"/>
    <mergeCell ref="F559:H559"/>
    <mergeCell ref="F560:H560"/>
    <mergeCell ref="F561:H561"/>
    <mergeCell ref="F562:H562"/>
    <mergeCell ref="F563:H563"/>
    <mergeCell ref="F564:H564"/>
    <mergeCell ref="F565:H565"/>
  </mergeCells>
  <conditionalFormatting sqref="C4:C28">
    <cfRule type="containsText" dxfId="77" priority="1" operator="containsText" text="L">
      <formula>NOT(ISERROR(SEARCH(("L"),(C4))))</formula>
    </cfRule>
    <cfRule type="containsText" dxfId="76" priority="2" operator="containsText" text="S">
      <formula>NOT(ISERROR(SEARCH(("S"),(C4))))</formula>
    </cfRule>
    <cfRule type="containsText" dxfId="75" priority="3" operator="containsText" text="L">
      <formula>NOT(ISERROR(SEARCH(("L"),(C4))))</formula>
    </cfRule>
  </conditionalFormatting>
  <conditionalFormatting sqref="C36:C60">
    <cfRule type="containsText" dxfId="74" priority="77" operator="containsText" text="S">
      <formula>NOT(ISERROR(SEARCH(("S"),(C36))))</formula>
    </cfRule>
    <cfRule type="containsText" dxfId="73" priority="76" operator="containsText" text="L">
      <formula>NOT(ISERROR(SEARCH(("L"),(C36))))</formula>
    </cfRule>
    <cfRule type="containsText" dxfId="72" priority="78" operator="containsText" text="L">
      <formula>NOT(ISERROR(SEARCH(("L"),(C36))))</formula>
    </cfRule>
  </conditionalFormatting>
  <conditionalFormatting sqref="C68:C92">
    <cfRule type="containsText" dxfId="71" priority="7" operator="containsText" text="L">
      <formula>NOT(ISERROR(SEARCH(("L"),(C68))))</formula>
    </cfRule>
    <cfRule type="containsText" dxfId="70" priority="8" operator="containsText" text="S">
      <formula>NOT(ISERROR(SEARCH(("S"),(C68))))</formula>
    </cfRule>
    <cfRule type="containsText" dxfId="69" priority="9" operator="containsText" text="L">
      <formula>NOT(ISERROR(SEARCH(("L"),(C68))))</formula>
    </cfRule>
  </conditionalFormatting>
  <conditionalFormatting sqref="C100:C124">
    <cfRule type="containsText" dxfId="68" priority="10" operator="containsText" text="L">
      <formula>NOT(ISERROR(SEARCH(("L"),(C100))))</formula>
    </cfRule>
    <cfRule type="containsText" dxfId="67" priority="11" operator="containsText" text="S">
      <formula>NOT(ISERROR(SEARCH(("S"),(C100))))</formula>
    </cfRule>
    <cfRule type="containsText" dxfId="66" priority="12" operator="containsText" text="L">
      <formula>NOT(ISERROR(SEARCH(("L"),(C100))))</formula>
    </cfRule>
  </conditionalFormatting>
  <conditionalFormatting sqref="C132:C156">
    <cfRule type="containsText" dxfId="65" priority="13" operator="containsText" text="L">
      <formula>NOT(ISERROR(SEARCH(("L"),(C132))))</formula>
    </cfRule>
    <cfRule type="containsText" dxfId="64" priority="14" operator="containsText" text="S">
      <formula>NOT(ISERROR(SEARCH(("S"),(C132))))</formula>
    </cfRule>
    <cfRule type="containsText" dxfId="63" priority="15" operator="containsText" text="L">
      <formula>NOT(ISERROR(SEARCH(("L"),(C132))))</formula>
    </cfRule>
  </conditionalFormatting>
  <conditionalFormatting sqref="C164:C188">
    <cfRule type="containsText" dxfId="62" priority="16" operator="containsText" text="L">
      <formula>NOT(ISERROR(SEARCH(("L"),(C164))))</formula>
    </cfRule>
    <cfRule type="containsText" dxfId="61" priority="17" operator="containsText" text="S">
      <formula>NOT(ISERROR(SEARCH(("S"),(C164))))</formula>
    </cfRule>
    <cfRule type="containsText" dxfId="60" priority="18" operator="containsText" text="L">
      <formula>NOT(ISERROR(SEARCH(("L"),(C164))))</formula>
    </cfRule>
  </conditionalFormatting>
  <conditionalFormatting sqref="C196:C220">
    <cfRule type="containsText" dxfId="59" priority="19" operator="containsText" text="L">
      <formula>NOT(ISERROR(SEARCH(("L"),(C196))))</formula>
    </cfRule>
    <cfRule type="containsText" dxfId="58" priority="20" operator="containsText" text="S">
      <formula>NOT(ISERROR(SEARCH(("S"),(C196))))</formula>
    </cfRule>
    <cfRule type="containsText" dxfId="57" priority="21" operator="containsText" text="L">
      <formula>NOT(ISERROR(SEARCH(("L"),(C196))))</formula>
    </cfRule>
  </conditionalFormatting>
  <conditionalFormatting sqref="C228:C252">
    <cfRule type="containsText" dxfId="56" priority="22" operator="containsText" text="L">
      <formula>NOT(ISERROR(SEARCH(("L"),(C228))))</formula>
    </cfRule>
    <cfRule type="containsText" dxfId="55" priority="23" operator="containsText" text="S">
      <formula>NOT(ISERROR(SEARCH(("S"),(C228))))</formula>
    </cfRule>
    <cfRule type="containsText" dxfId="54" priority="24" operator="containsText" text="L">
      <formula>NOT(ISERROR(SEARCH(("L"),(C228))))</formula>
    </cfRule>
  </conditionalFormatting>
  <conditionalFormatting sqref="C260:C284">
    <cfRule type="containsText" dxfId="53" priority="25" operator="containsText" text="L">
      <formula>NOT(ISERROR(SEARCH(("L"),(C260))))</formula>
    </cfRule>
    <cfRule type="containsText" dxfId="52" priority="26" operator="containsText" text="S">
      <formula>NOT(ISERROR(SEARCH(("S"),(C260))))</formula>
    </cfRule>
    <cfRule type="containsText" dxfId="51" priority="27" operator="containsText" text="L">
      <formula>NOT(ISERROR(SEARCH(("L"),(C260))))</formula>
    </cfRule>
  </conditionalFormatting>
  <conditionalFormatting sqref="C292:C316">
    <cfRule type="containsText" dxfId="50" priority="28" operator="containsText" text="L">
      <formula>NOT(ISERROR(SEARCH(("L"),(C292))))</formula>
    </cfRule>
    <cfRule type="containsText" dxfId="49" priority="29" operator="containsText" text="S">
      <formula>NOT(ISERROR(SEARCH(("S"),(C292))))</formula>
    </cfRule>
    <cfRule type="containsText" dxfId="48" priority="30" operator="containsText" text="L">
      <formula>NOT(ISERROR(SEARCH(("L"),(C292))))</formula>
    </cfRule>
  </conditionalFormatting>
  <conditionalFormatting sqref="C324:C348">
    <cfRule type="containsText" dxfId="47" priority="31" operator="containsText" text="L">
      <formula>NOT(ISERROR(SEARCH(("L"),(C324))))</formula>
    </cfRule>
    <cfRule type="containsText" dxfId="46" priority="32" operator="containsText" text="S">
      <formula>NOT(ISERROR(SEARCH(("S"),(C324))))</formula>
    </cfRule>
    <cfRule type="containsText" dxfId="45" priority="33" operator="containsText" text="L">
      <formula>NOT(ISERROR(SEARCH(("L"),(C324))))</formula>
    </cfRule>
  </conditionalFormatting>
  <conditionalFormatting sqref="C356:C380">
    <cfRule type="containsText" dxfId="44" priority="34" operator="containsText" text="L">
      <formula>NOT(ISERROR(SEARCH(("L"),(C356))))</formula>
    </cfRule>
    <cfRule type="containsText" dxfId="43" priority="35" operator="containsText" text="S">
      <formula>NOT(ISERROR(SEARCH(("S"),(C356))))</formula>
    </cfRule>
    <cfRule type="containsText" dxfId="42" priority="36" operator="containsText" text="L">
      <formula>NOT(ISERROR(SEARCH(("L"),(C356))))</formula>
    </cfRule>
  </conditionalFormatting>
  <conditionalFormatting sqref="C388:C412">
    <cfRule type="containsText" dxfId="41" priority="37" operator="containsText" text="L">
      <formula>NOT(ISERROR(SEARCH(("L"),(C388))))</formula>
    </cfRule>
    <cfRule type="containsText" dxfId="40" priority="38" operator="containsText" text="S">
      <formula>NOT(ISERROR(SEARCH(("S"),(C388))))</formula>
    </cfRule>
    <cfRule type="containsText" dxfId="39" priority="39" operator="containsText" text="L">
      <formula>NOT(ISERROR(SEARCH(("L"),(C388))))</formula>
    </cfRule>
  </conditionalFormatting>
  <conditionalFormatting sqref="C420:C444">
    <cfRule type="containsText" dxfId="38" priority="40" operator="containsText" text="L">
      <formula>NOT(ISERROR(SEARCH(("L"),(C420))))</formula>
    </cfRule>
    <cfRule type="containsText" dxfId="37" priority="41" operator="containsText" text="S">
      <formula>NOT(ISERROR(SEARCH(("S"),(C420))))</formula>
    </cfRule>
    <cfRule type="containsText" dxfId="36" priority="42" operator="containsText" text="L">
      <formula>NOT(ISERROR(SEARCH(("L"),(C420))))</formula>
    </cfRule>
  </conditionalFormatting>
  <conditionalFormatting sqref="C452:C476">
    <cfRule type="containsText" dxfId="35" priority="43" operator="containsText" text="L">
      <formula>NOT(ISERROR(SEARCH(("L"),(C452))))</formula>
    </cfRule>
    <cfRule type="containsText" dxfId="34" priority="44" operator="containsText" text="S">
      <formula>NOT(ISERROR(SEARCH(("S"),(C452))))</formula>
    </cfRule>
    <cfRule type="containsText" dxfId="33" priority="45" operator="containsText" text="L">
      <formula>NOT(ISERROR(SEARCH(("L"),(C452))))</formula>
    </cfRule>
  </conditionalFormatting>
  <conditionalFormatting sqref="C484:C508">
    <cfRule type="containsText" dxfId="32" priority="46" operator="containsText" text="L">
      <formula>NOT(ISERROR(SEARCH(("L"),(C484))))</formula>
    </cfRule>
    <cfRule type="containsText" dxfId="31" priority="47" operator="containsText" text="S">
      <formula>NOT(ISERROR(SEARCH(("S"),(C484))))</formula>
    </cfRule>
    <cfRule type="containsText" dxfId="30" priority="48" operator="containsText" text="L">
      <formula>NOT(ISERROR(SEARCH(("L"),(C484))))</formula>
    </cfRule>
  </conditionalFormatting>
  <conditionalFormatting sqref="C516:C540">
    <cfRule type="containsText" dxfId="29" priority="49" operator="containsText" text="L">
      <formula>NOT(ISERROR(SEARCH(("L"),(C516))))</formula>
    </cfRule>
    <cfRule type="containsText" dxfId="28" priority="50" operator="containsText" text="S">
      <formula>NOT(ISERROR(SEARCH(("S"),(C516))))</formula>
    </cfRule>
    <cfRule type="containsText" dxfId="27" priority="51" operator="containsText" text="L">
      <formula>NOT(ISERROR(SEARCH(("L"),(C516))))</formula>
    </cfRule>
  </conditionalFormatting>
  <conditionalFormatting sqref="C548:C572">
    <cfRule type="containsText" dxfId="26" priority="52" operator="containsText" text="L">
      <formula>NOT(ISERROR(SEARCH(("L"),(C548))))</formula>
    </cfRule>
    <cfRule type="containsText" dxfId="25" priority="53" operator="containsText" text="S">
      <formula>NOT(ISERROR(SEARCH(("S"),(C548))))</formula>
    </cfRule>
    <cfRule type="containsText" dxfId="24" priority="54" operator="containsText" text="L">
      <formula>NOT(ISERROR(SEARCH(("L"),(C548))))</formula>
    </cfRule>
  </conditionalFormatting>
  <conditionalFormatting sqref="C580:C604">
    <cfRule type="containsText" dxfId="23" priority="55" operator="containsText" text="L">
      <formula>NOT(ISERROR(SEARCH(("L"),(C580))))</formula>
    </cfRule>
    <cfRule type="containsText" dxfId="22" priority="56" operator="containsText" text="S">
      <formula>NOT(ISERROR(SEARCH(("S"),(C580))))</formula>
    </cfRule>
    <cfRule type="containsText" dxfId="21" priority="57" operator="containsText" text="L">
      <formula>NOT(ISERROR(SEARCH(("L"),(C580))))</formula>
    </cfRule>
  </conditionalFormatting>
  <conditionalFormatting sqref="C612:C636">
    <cfRule type="containsText" dxfId="20" priority="58" operator="containsText" text="L">
      <formula>NOT(ISERROR(SEARCH(("L"),(C612))))</formula>
    </cfRule>
    <cfRule type="containsText" dxfId="19" priority="59" operator="containsText" text="S">
      <formula>NOT(ISERROR(SEARCH(("S"),(C612))))</formula>
    </cfRule>
    <cfRule type="containsText" dxfId="18" priority="60" operator="containsText" text="L">
      <formula>NOT(ISERROR(SEARCH(("L"),(C612))))</formula>
    </cfRule>
  </conditionalFormatting>
  <conditionalFormatting sqref="C644:C668">
    <cfRule type="containsText" dxfId="17" priority="61" operator="containsText" text="L">
      <formula>NOT(ISERROR(SEARCH(("L"),(C644))))</formula>
    </cfRule>
    <cfRule type="containsText" dxfId="16" priority="62" operator="containsText" text="S">
      <formula>NOT(ISERROR(SEARCH(("S"),(C644))))</formula>
    </cfRule>
    <cfRule type="containsText" dxfId="15" priority="63" operator="containsText" text="L">
      <formula>NOT(ISERROR(SEARCH(("L"),(C644))))</formula>
    </cfRule>
  </conditionalFormatting>
  <conditionalFormatting sqref="C676:C700">
    <cfRule type="containsText" dxfId="14" priority="64" operator="containsText" text="L">
      <formula>NOT(ISERROR(SEARCH(("L"),(C676))))</formula>
    </cfRule>
    <cfRule type="containsText" dxfId="13" priority="65" operator="containsText" text="S">
      <formula>NOT(ISERROR(SEARCH(("S"),(C676))))</formula>
    </cfRule>
    <cfRule type="containsText" dxfId="12" priority="66" operator="containsText" text="L">
      <formula>NOT(ISERROR(SEARCH(("L"),(C676))))</formula>
    </cfRule>
  </conditionalFormatting>
  <conditionalFormatting sqref="C708:C732">
    <cfRule type="containsText" dxfId="11" priority="67" operator="containsText" text="L">
      <formula>NOT(ISERROR(SEARCH(("L"),(C708))))</formula>
    </cfRule>
    <cfRule type="containsText" dxfId="10" priority="68" operator="containsText" text="S">
      <formula>NOT(ISERROR(SEARCH(("S"),(C708))))</formula>
    </cfRule>
    <cfRule type="containsText" dxfId="9" priority="69" operator="containsText" text="L">
      <formula>NOT(ISERROR(SEARCH(("L"),(C708))))</formula>
    </cfRule>
  </conditionalFormatting>
  <conditionalFormatting sqref="C740:C764">
    <cfRule type="containsText" dxfId="8" priority="70" operator="containsText" text="L">
      <formula>NOT(ISERROR(SEARCH(("L"),(C740))))</formula>
    </cfRule>
    <cfRule type="containsText" dxfId="7" priority="71" operator="containsText" text="S">
      <formula>NOT(ISERROR(SEARCH(("S"),(C740))))</formula>
    </cfRule>
    <cfRule type="containsText" dxfId="6" priority="72" operator="containsText" text="L">
      <formula>NOT(ISERROR(SEARCH(("L"),(C740))))</formula>
    </cfRule>
  </conditionalFormatting>
  <conditionalFormatting sqref="C772:C796">
    <cfRule type="containsText" dxfId="5" priority="73" operator="containsText" text="L">
      <formula>NOT(ISERROR(SEARCH(("L"),(C772))))</formula>
    </cfRule>
    <cfRule type="containsText" dxfId="4" priority="74" operator="containsText" text="S">
      <formula>NOT(ISERROR(SEARCH(("S"),(C772))))</formula>
    </cfRule>
    <cfRule type="containsText" dxfId="3" priority="75" operator="containsText" text="L">
      <formula>NOT(ISERROR(SEARCH(("L"),(C772))))</formula>
    </cfRule>
  </conditionalFormatting>
  <conditionalFormatting sqref="C804:C828">
    <cfRule type="containsText" dxfId="2" priority="6" operator="containsText" text="L">
      <formula>NOT(ISERROR(SEARCH(("L"),(C804))))</formula>
    </cfRule>
    <cfRule type="containsText" dxfId="1" priority="5" operator="containsText" text="S">
      <formula>NOT(ISERROR(SEARCH(("S"),(C804))))</formula>
    </cfRule>
    <cfRule type="containsText" dxfId="0" priority="4" operator="containsText" text="L">
      <formula>NOT(ISERROR(SEARCH(("L"),(C804))))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/>
  <cols>
    <col min="1" max="34" width="8.88671875" customWidth="1"/>
  </cols>
  <sheetData>
    <row r="1" spans="1:2" ht="14.25" customHeight="1">
      <c r="A1" s="88" t="s">
        <v>38</v>
      </c>
      <c r="B1" s="88" t="s">
        <v>39</v>
      </c>
    </row>
    <row r="2" spans="1:2" ht="14.25" customHeight="1">
      <c r="A2" s="89">
        <f>Record!K1+Record!P9</f>
        <v>18067.900000000001</v>
      </c>
      <c r="B2" s="90">
        <f>Record!P5</f>
        <v>100</v>
      </c>
    </row>
    <row r="3" spans="1:2" ht="14.25" customHeight="1">
      <c r="A3" s="89">
        <f>A2+Record!P41</f>
        <v>18067.900000000001</v>
      </c>
      <c r="B3" s="90" t="e">
        <f>Record!P37</f>
        <v>#DIV/0!</v>
      </c>
    </row>
    <row r="4" spans="1:2" ht="14.25" customHeight="1">
      <c r="A4" s="89">
        <f>A3+Record!P73</f>
        <v>18067.900000000001</v>
      </c>
      <c r="B4" s="90" t="e">
        <f>Record!P69</f>
        <v>#DIV/0!</v>
      </c>
    </row>
    <row r="5" spans="1:2" ht="14.25" customHeight="1">
      <c r="A5" s="89">
        <f>A4+Record!P105</f>
        <v>18067.900000000001</v>
      </c>
      <c r="B5" s="90" t="e">
        <f>Record!P101</f>
        <v>#DIV/0!</v>
      </c>
    </row>
    <row r="6" spans="1:2" ht="14.25" customHeight="1">
      <c r="A6" s="89">
        <f>A5+Record!P137</f>
        <v>18067.900000000001</v>
      </c>
      <c r="B6" s="90" t="e">
        <f>Record!P133</f>
        <v>#DIV/0!</v>
      </c>
    </row>
    <row r="7" spans="1:2" ht="14.25" customHeight="1">
      <c r="A7" s="89">
        <f>A6+Record!P169</f>
        <v>18067.900000000001</v>
      </c>
      <c r="B7" s="90" t="e">
        <f>Record!P165</f>
        <v>#DIV/0!</v>
      </c>
    </row>
    <row r="8" spans="1:2" ht="14.25" customHeight="1">
      <c r="A8" s="89">
        <f>A7+Record!P201</f>
        <v>18067.900000000001</v>
      </c>
      <c r="B8" s="90" t="e">
        <f>Record!P197</f>
        <v>#DIV/0!</v>
      </c>
    </row>
    <row r="9" spans="1:2" ht="14.25" customHeight="1">
      <c r="A9" s="89">
        <f>A8+Record!P233</f>
        <v>18067.900000000001</v>
      </c>
      <c r="B9" s="90" t="e">
        <f>Record!P229</f>
        <v>#DIV/0!</v>
      </c>
    </row>
    <row r="10" spans="1:2" ht="14.25" customHeight="1">
      <c r="A10" s="89">
        <f>A9+Record!P265</f>
        <v>18067.900000000001</v>
      </c>
      <c r="B10" s="90" t="e">
        <f>Record!P261</f>
        <v>#DIV/0!</v>
      </c>
    </row>
    <row r="11" spans="1:2" ht="14.25" customHeight="1">
      <c r="A11" s="89">
        <f>A10+Record!P297</f>
        <v>18067.900000000001</v>
      </c>
      <c r="B11" s="90" t="e">
        <f>Record!P293</f>
        <v>#DIV/0!</v>
      </c>
    </row>
    <row r="12" spans="1:2" ht="14.25" customHeight="1">
      <c r="A12" s="89">
        <f>A11+Record!P329</f>
        <v>18067.900000000001</v>
      </c>
      <c r="B12" s="90" t="e">
        <f>Record!P325</f>
        <v>#DIV/0!</v>
      </c>
    </row>
    <row r="13" spans="1:2" ht="14.25" customHeight="1">
      <c r="A13" s="89">
        <f>A12+Record!P361</f>
        <v>18067.900000000001</v>
      </c>
      <c r="B13" s="90" t="e">
        <f>Record!P357</f>
        <v>#DIV/0!</v>
      </c>
    </row>
    <row r="14" spans="1:2" ht="14.25" customHeight="1">
      <c r="A14" s="89">
        <f>A13+Record!P393</f>
        <v>18067.900000000001</v>
      </c>
      <c r="B14" s="90" t="e">
        <f>Record!P389</f>
        <v>#DIV/0!</v>
      </c>
    </row>
    <row r="15" spans="1:2" ht="14.25" customHeight="1">
      <c r="A15" s="89">
        <f>A14+Record!P425</f>
        <v>18067.900000000001</v>
      </c>
      <c r="B15" s="90" t="e">
        <f>Record!P421</f>
        <v>#DIV/0!</v>
      </c>
    </row>
    <row r="16" spans="1:2" ht="14.25" customHeight="1">
      <c r="A16" s="89">
        <f>A15+Record!P457</f>
        <v>18067.900000000001</v>
      </c>
      <c r="B16" s="90" t="e">
        <f>Record!P453</f>
        <v>#DIV/0!</v>
      </c>
    </row>
    <row r="17" spans="1:2" ht="14.25" customHeight="1">
      <c r="A17" s="89">
        <f>A16+Record!P489</f>
        <v>18067.900000000001</v>
      </c>
      <c r="B17" s="90" t="e">
        <f>Record!P485</f>
        <v>#DIV/0!</v>
      </c>
    </row>
    <row r="18" spans="1:2" ht="14.25" customHeight="1">
      <c r="A18" s="89">
        <f>A17+Record!P521</f>
        <v>18067.900000000001</v>
      </c>
      <c r="B18" s="90" t="e">
        <f>Record!P517</f>
        <v>#DIV/0!</v>
      </c>
    </row>
    <row r="19" spans="1:2" ht="14.25" customHeight="1">
      <c r="A19" s="89">
        <f>A18+Record!P553</f>
        <v>18067.900000000001</v>
      </c>
      <c r="B19" s="90" t="e">
        <f>Record!P549</f>
        <v>#DIV/0!</v>
      </c>
    </row>
    <row r="20" spans="1:2" ht="14.25" customHeight="1">
      <c r="A20" s="89">
        <f>A19+Record!P585</f>
        <v>18067.900000000001</v>
      </c>
      <c r="B20" s="90" t="e">
        <f>Record!P581</f>
        <v>#DIV/0!</v>
      </c>
    </row>
    <row r="21" spans="1:2" ht="14.25" customHeight="1">
      <c r="A21" s="89">
        <f>A20+Record!P617</f>
        <v>18067.900000000001</v>
      </c>
      <c r="B21" s="90" t="e">
        <f>Record!P613</f>
        <v>#DIV/0!</v>
      </c>
    </row>
    <row r="22" spans="1:2" ht="14.25" customHeight="1">
      <c r="A22" s="89">
        <f>A21+Record!P649</f>
        <v>18067.900000000001</v>
      </c>
      <c r="B22" s="90" t="e">
        <f>Record!P645</f>
        <v>#DIV/0!</v>
      </c>
    </row>
    <row r="23" spans="1:2" ht="14.25" customHeight="1">
      <c r="A23" s="89">
        <f>A22+Record!P681</f>
        <v>18067.900000000001</v>
      </c>
      <c r="B23" s="90" t="e">
        <f>Record!P677</f>
        <v>#DIV/0!</v>
      </c>
    </row>
    <row r="24" spans="1:2" ht="14.25" customHeight="1">
      <c r="A24" s="89">
        <f>A23+Record!P713</f>
        <v>18067.900000000001</v>
      </c>
      <c r="B24" s="90" t="e">
        <f>Record!P709</f>
        <v>#DIV/0!</v>
      </c>
    </row>
    <row r="25" spans="1:2" ht="14.25" customHeight="1">
      <c r="A25" s="89">
        <f>A24+Record!P745</f>
        <v>18067.900000000001</v>
      </c>
      <c r="B25" s="90" t="e">
        <f>Record!P741</f>
        <v>#DIV/0!</v>
      </c>
    </row>
    <row r="26" spans="1:2" ht="14.25" customHeight="1">
      <c r="A26" s="89">
        <f>A25+Record!P777</f>
        <v>18067.900000000001</v>
      </c>
      <c r="B26" s="90" t="e">
        <f>Record!P773</f>
        <v>#DIV/0!</v>
      </c>
    </row>
    <row r="27" spans="1:2" ht="14.25" customHeight="1">
      <c r="A27" s="89">
        <f>A26+Record!P809</f>
        <v>18067.900000000001</v>
      </c>
      <c r="B27" s="90" t="e">
        <f>Record!P805</f>
        <v>#DIV/0!</v>
      </c>
    </row>
    <row r="28" spans="1:2" ht="14.25" customHeight="1">
      <c r="A28" s="88"/>
      <c r="B28" s="88"/>
    </row>
    <row r="29" spans="1:2" ht="14.25" customHeight="1">
      <c r="A29" s="88" t="s">
        <v>40</v>
      </c>
      <c r="B29" s="88" t="s">
        <v>41</v>
      </c>
    </row>
    <row r="30" spans="1:2" ht="14.25" customHeight="1">
      <c r="A30" s="91">
        <f>Record!R11</f>
        <v>0</v>
      </c>
      <c r="B30" s="91">
        <f>Record!P6</f>
        <v>0</v>
      </c>
    </row>
    <row r="31" spans="1:2" ht="14.25" customHeight="1">
      <c r="A31" s="91" t="e">
        <f>Record!R43</f>
        <v>#DIV/0!</v>
      </c>
      <c r="B31" s="91" t="e">
        <f>Record!P38</f>
        <v>#DIV/0!</v>
      </c>
    </row>
    <row r="32" spans="1:2" ht="14.25" customHeight="1">
      <c r="A32" s="91" t="e">
        <f>Record!R75</f>
        <v>#DIV/0!</v>
      </c>
      <c r="B32" s="91" t="e">
        <f>Record!P70</f>
        <v>#DIV/0!</v>
      </c>
    </row>
    <row r="33" spans="1:2" ht="14.25" customHeight="1">
      <c r="A33" s="91" t="e">
        <f>Record!R107</f>
        <v>#DIV/0!</v>
      </c>
      <c r="B33" s="91" t="e">
        <f>Record!P102</f>
        <v>#DIV/0!</v>
      </c>
    </row>
    <row r="34" spans="1:2" ht="14.25" customHeight="1">
      <c r="A34" s="91" t="e">
        <f>Record!R139</f>
        <v>#DIV/0!</v>
      </c>
      <c r="B34" s="91" t="e">
        <f>Record!P134</f>
        <v>#DIV/0!</v>
      </c>
    </row>
    <row r="35" spans="1:2" ht="14.25" customHeight="1">
      <c r="A35" s="91" t="e">
        <f>Record!R171</f>
        <v>#DIV/0!</v>
      </c>
      <c r="B35" s="91" t="e">
        <f>Record!P166</f>
        <v>#DIV/0!</v>
      </c>
    </row>
    <row r="36" spans="1:2" ht="14.25" customHeight="1">
      <c r="A36" s="91" t="e">
        <f>Record!R203</f>
        <v>#DIV/0!</v>
      </c>
      <c r="B36" s="91" t="e">
        <f>Record!P198</f>
        <v>#DIV/0!</v>
      </c>
    </row>
    <row r="37" spans="1:2" ht="14.25" customHeight="1">
      <c r="A37" s="91" t="e">
        <f>Record!R235</f>
        <v>#DIV/0!</v>
      </c>
      <c r="B37" s="91" t="e">
        <f>Record!P230</f>
        <v>#DIV/0!</v>
      </c>
    </row>
    <row r="38" spans="1:2" ht="14.25" customHeight="1">
      <c r="A38" s="91" t="e">
        <f>Record!R267</f>
        <v>#DIV/0!</v>
      </c>
      <c r="B38" s="91" t="e">
        <f>Record!P262</f>
        <v>#DIV/0!</v>
      </c>
    </row>
    <row r="39" spans="1:2" ht="14.25" customHeight="1">
      <c r="A39" s="91" t="e">
        <f>Record!R299</f>
        <v>#DIV/0!</v>
      </c>
      <c r="B39" s="91" t="e">
        <f>Record!P294</f>
        <v>#DIV/0!</v>
      </c>
    </row>
    <row r="40" spans="1:2" ht="14.25" customHeight="1">
      <c r="A40" s="91" t="e">
        <f>Record!R331</f>
        <v>#DIV/0!</v>
      </c>
      <c r="B40" s="91" t="e">
        <f>Record!P326</f>
        <v>#DIV/0!</v>
      </c>
    </row>
    <row r="41" spans="1:2" ht="14.25" customHeight="1">
      <c r="A41" s="91" t="e">
        <f>Record!R363</f>
        <v>#DIV/0!</v>
      </c>
      <c r="B41" s="91" t="e">
        <f>Record!P358</f>
        <v>#DIV/0!</v>
      </c>
    </row>
    <row r="42" spans="1:2" ht="14.25" customHeight="1">
      <c r="A42" s="91" t="e">
        <f>Record!R395</f>
        <v>#DIV/0!</v>
      </c>
      <c r="B42" s="91" t="e">
        <f>Record!P390</f>
        <v>#DIV/0!</v>
      </c>
    </row>
    <row r="43" spans="1:2" ht="14.25" customHeight="1">
      <c r="A43" s="91" t="e">
        <f>Record!R427</f>
        <v>#DIV/0!</v>
      </c>
      <c r="B43" s="91" t="e">
        <f>Record!P422</f>
        <v>#DIV/0!</v>
      </c>
    </row>
    <row r="44" spans="1:2" ht="14.25" customHeight="1">
      <c r="A44" s="91" t="e">
        <f>Record!R459</f>
        <v>#DIV/0!</v>
      </c>
      <c r="B44" s="91" t="e">
        <f>Record!P454</f>
        <v>#DIV/0!</v>
      </c>
    </row>
    <row r="45" spans="1:2" ht="14.25" customHeight="1">
      <c r="A45" s="91" t="e">
        <f>Record!R491</f>
        <v>#DIV/0!</v>
      </c>
      <c r="B45" s="91" t="e">
        <f>Record!P486</f>
        <v>#DIV/0!</v>
      </c>
    </row>
    <row r="46" spans="1:2" ht="14.25" customHeight="1">
      <c r="A46" s="91" t="e">
        <f>Record!R523</f>
        <v>#DIV/0!</v>
      </c>
      <c r="B46" s="91" t="e">
        <f>Record!P518</f>
        <v>#DIV/0!</v>
      </c>
    </row>
    <row r="47" spans="1:2" ht="14.25" customHeight="1">
      <c r="A47" s="91" t="e">
        <f>Record!R555</f>
        <v>#DIV/0!</v>
      </c>
      <c r="B47" s="91" t="e">
        <f>Record!P550</f>
        <v>#DIV/0!</v>
      </c>
    </row>
    <row r="48" spans="1:2" ht="14.25" customHeight="1">
      <c r="A48" s="91" t="e">
        <f>Record!R587</f>
        <v>#DIV/0!</v>
      </c>
      <c r="B48" s="91" t="e">
        <f>Record!P582</f>
        <v>#DIV/0!</v>
      </c>
    </row>
    <row r="49" spans="1:2" ht="14.25" customHeight="1">
      <c r="A49" s="91" t="e">
        <f>Record!R619</f>
        <v>#DIV/0!</v>
      </c>
      <c r="B49" s="91" t="e">
        <f>Record!P614</f>
        <v>#DIV/0!</v>
      </c>
    </row>
    <row r="50" spans="1:2" ht="14.25" customHeight="1">
      <c r="A50" s="91" t="e">
        <f>Record!R651</f>
        <v>#DIV/0!</v>
      </c>
      <c r="B50" s="91" t="e">
        <f>Record!P646</f>
        <v>#DIV/0!</v>
      </c>
    </row>
    <row r="51" spans="1:2" ht="14.25" customHeight="1">
      <c r="A51" s="91" t="e">
        <f>Record!R683</f>
        <v>#DIV/0!</v>
      </c>
      <c r="B51" s="91" t="e">
        <f>Record!P678</f>
        <v>#DIV/0!</v>
      </c>
    </row>
    <row r="52" spans="1:2" ht="14.25" customHeight="1">
      <c r="A52" s="91" t="e">
        <f>Record!R715</f>
        <v>#DIV/0!</v>
      </c>
      <c r="B52" s="91" t="e">
        <f>Record!P710</f>
        <v>#DIV/0!</v>
      </c>
    </row>
    <row r="53" spans="1:2" ht="14.25" customHeight="1">
      <c r="A53" s="91" t="e">
        <f>Record!R747</f>
        <v>#DIV/0!</v>
      </c>
      <c r="B53" s="91" t="e">
        <f>Record!P742</f>
        <v>#DIV/0!</v>
      </c>
    </row>
    <row r="54" spans="1:2" ht="14.25" customHeight="1">
      <c r="A54" s="91" t="e">
        <f>Record!R779</f>
        <v>#DIV/0!</v>
      </c>
      <c r="B54" s="91" t="e">
        <f>Record!P774</f>
        <v>#DIV/0!</v>
      </c>
    </row>
    <row r="55" spans="1:2" ht="14.25" customHeight="1">
      <c r="A55" s="91" t="e">
        <f>Record!R811</f>
        <v>#DIV/0!</v>
      </c>
      <c r="B55" s="91" t="e">
        <f>Record!P806</f>
        <v>#DIV/0!</v>
      </c>
    </row>
    <row r="56" spans="1:2" ht="14.25" customHeight="1">
      <c r="A56" s="88"/>
      <c r="B56" s="88"/>
    </row>
    <row r="57" spans="1:2" ht="14.25" customHeight="1">
      <c r="A57" s="88" t="s">
        <v>42</v>
      </c>
      <c r="B57" s="88"/>
    </row>
    <row r="58" spans="1:2" ht="14.25" customHeight="1">
      <c r="A58" s="92">
        <f>Record!P9</f>
        <v>3067.9</v>
      </c>
      <c r="B58" s="88">
        <v>50</v>
      </c>
    </row>
    <row r="59" spans="1:2" ht="14.25" customHeight="1">
      <c r="A59" s="92">
        <f>Record!P41</f>
        <v>0</v>
      </c>
      <c r="B59" s="88">
        <v>50</v>
      </c>
    </row>
    <row r="60" spans="1:2" ht="14.25" customHeight="1">
      <c r="A60" s="92">
        <f>Record!P73</f>
        <v>0</v>
      </c>
      <c r="B60" s="88">
        <v>50</v>
      </c>
    </row>
    <row r="61" spans="1:2" ht="14.25" customHeight="1">
      <c r="A61" s="92">
        <f>Record!P105</f>
        <v>0</v>
      </c>
      <c r="B61" s="88">
        <v>50</v>
      </c>
    </row>
    <row r="62" spans="1:2" ht="14.25" customHeight="1">
      <c r="A62" s="92">
        <f>Record!P137</f>
        <v>0</v>
      </c>
      <c r="B62" s="88">
        <v>50</v>
      </c>
    </row>
    <row r="63" spans="1:2" ht="14.25" customHeight="1">
      <c r="A63" s="92">
        <f>Record!P169</f>
        <v>0</v>
      </c>
      <c r="B63" s="88">
        <v>50</v>
      </c>
    </row>
    <row r="64" spans="1:2" ht="14.25" customHeight="1">
      <c r="A64" s="92">
        <f>Record!P201</f>
        <v>0</v>
      </c>
      <c r="B64" s="88">
        <v>50</v>
      </c>
    </row>
    <row r="65" spans="1:2" ht="14.25" customHeight="1">
      <c r="A65" s="92">
        <f>Record!P233</f>
        <v>0</v>
      </c>
      <c r="B65" s="88">
        <v>50</v>
      </c>
    </row>
    <row r="66" spans="1:2" ht="14.25" customHeight="1">
      <c r="A66" s="92">
        <f>Record!P265</f>
        <v>0</v>
      </c>
      <c r="B66" s="88">
        <v>50</v>
      </c>
    </row>
    <row r="67" spans="1:2" ht="14.25" customHeight="1">
      <c r="A67" s="92">
        <f>Record!P297</f>
        <v>0</v>
      </c>
      <c r="B67" s="88">
        <v>50</v>
      </c>
    </row>
    <row r="68" spans="1:2" ht="14.25" customHeight="1">
      <c r="A68" s="92">
        <f>Record!P329</f>
        <v>0</v>
      </c>
      <c r="B68" s="88">
        <v>50</v>
      </c>
    </row>
    <row r="69" spans="1:2" ht="14.25" customHeight="1">
      <c r="A69" s="92">
        <f>Record!P361</f>
        <v>0</v>
      </c>
      <c r="B69" s="88">
        <v>50</v>
      </c>
    </row>
    <row r="70" spans="1:2" ht="14.25" customHeight="1">
      <c r="A70" s="92">
        <f>Record!P393</f>
        <v>0</v>
      </c>
      <c r="B70" s="88">
        <v>50</v>
      </c>
    </row>
    <row r="71" spans="1:2" ht="14.25" customHeight="1">
      <c r="A71" s="92">
        <f>Record!P425</f>
        <v>0</v>
      </c>
      <c r="B71" s="88">
        <v>50</v>
      </c>
    </row>
    <row r="72" spans="1:2" ht="14.25" customHeight="1">
      <c r="A72" s="92">
        <f>Record!P457</f>
        <v>0</v>
      </c>
      <c r="B72" s="88">
        <v>50</v>
      </c>
    </row>
    <row r="73" spans="1:2" ht="14.25" customHeight="1">
      <c r="A73" s="92">
        <f>Record!P489</f>
        <v>0</v>
      </c>
      <c r="B73" s="88">
        <v>50</v>
      </c>
    </row>
    <row r="74" spans="1:2" ht="14.25" customHeight="1">
      <c r="A74" s="92">
        <f>Record!P521</f>
        <v>0</v>
      </c>
      <c r="B74" s="88">
        <v>50</v>
      </c>
    </row>
    <row r="75" spans="1:2" ht="14.25" customHeight="1">
      <c r="A75" s="92">
        <f>Record!P553</f>
        <v>0</v>
      </c>
      <c r="B75" s="88">
        <v>50</v>
      </c>
    </row>
    <row r="76" spans="1:2" ht="14.25" customHeight="1">
      <c r="A76" s="92">
        <f>Record!P585</f>
        <v>0</v>
      </c>
      <c r="B76" s="88">
        <v>50</v>
      </c>
    </row>
    <row r="77" spans="1:2" ht="14.25" customHeight="1">
      <c r="A77" s="92">
        <f>Record!P617</f>
        <v>0</v>
      </c>
      <c r="B77" s="88">
        <v>50</v>
      </c>
    </row>
    <row r="78" spans="1:2" ht="14.25" customHeight="1">
      <c r="A78" s="92">
        <f>Record!P649</f>
        <v>0</v>
      </c>
      <c r="B78" s="88">
        <v>50</v>
      </c>
    </row>
    <row r="79" spans="1:2" ht="14.25" customHeight="1">
      <c r="A79" s="92">
        <f>Record!P681</f>
        <v>0</v>
      </c>
      <c r="B79" s="88">
        <v>50</v>
      </c>
    </row>
    <row r="80" spans="1:2" ht="14.25" customHeight="1">
      <c r="A80" s="92">
        <f>Record!P713</f>
        <v>0</v>
      </c>
      <c r="B80" s="88">
        <v>50</v>
      </c>
    </row>
    <row r="81" spans="1:2" ht="14.25" customHeight="1">
      <c r="A81" s="92">
        <f>Record!P745</f>
        <v>0</v>
      </c>
      <c r="B81" s="88">
        <v>50</v>
      </c>
    </row>
    <row r="82" spans="1:2" ht="14.25" customHeight="1">
      <c r="A82" s="92">
        <f>Record!P777</f>
        <v>0</v>
      </c>
      <c r="B82" s="88">
        <v>50</v>
      </c>
    </row>
    <row r="83" spans="1:2" ht="14.25" customHeight="1">
      <c r="A83" s="92">
        <f>Record!P809</f>
        <v>0</v>
      </c>
      <c r="B83" s="88">
        <v>50</v>
      </c>
    </row>
    <row r="84" spans="1:2" ht="14.25" customHeight="1">
      <c r="A84" s="88"/>
      <c r="B84" s="88"/>
    </row>
    <row r="85" spans="1:2" ht="14.25" customHeight="1">
      <c r="A85" s="88"/>
      <c r="B85" s="88"/>
    </row>
    <row r="86" spans="1:2" ht="14.25" customHeight="1">
      <c r="A86" s="88"/>
      <c r="B86" s="88"/>
    </row>
    <row r="87" spans="1:2" ht="14.25" customHeight="1"/>
    <row r="88" spans="1:2" ht="14.25" customHeight="1"/>
    <row r="89" spans="1:2" ht="14.25" customHeight="1"/>
    <row r="90" spans="1:2" ht="14.25" customHeight="1"/>
    <row r="91" spans="1:2" ht="14.25" customHeight="1"/>
    <row r="92" spans="1:2" ht="14.25" customHeight="1"/>
    <row r="93" spans="1:2" ht="14.25" customHeight="1"/>
    <row r="94" spans="1:2" ht="14.25" customHeight="1"/>
    <row r="95" spans="1:2" ht="14.25" customHeight="1"/>
    <row r="96" spans="1:2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/>
  <cols>
    <col min="1" max="26" width="8.886718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</vt:lpstr>
      <vt:lpstr>Graph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onjira boonyasuwan</cp:lastModifiedBy>
  <dcterms:modified xsi:type="dcterms:W3CDTF">2026-05-16T04:32:41Z</dcterms:modified>
</cp:coreProperties>
</file>